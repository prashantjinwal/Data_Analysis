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F3F0A619-8415-4929-AB53-DA3D29469F1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  <sheet name="Sales Data" sheetId="1" r:id="rId2"/>
  </sheets>
  <definedNames>
    <definedName name="Slicer_Region">#N/A</definedName>
  </definedNames>
  <calcPr calcId="191028"/>
  <pivotCaches>
    <pivotCache cacheId="448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</calcChain>
</file>

<file path=xl/sharedStrings.xml><?xml version="1.0" encoding="utf-8"?>
<sst xmlns="http://schemas.openxmlformats.org/spreadsheetml/2006/main" count="643" uniqueCount="422">
  <si>
    <t>Sales Executive</t>
  </si>
  <si>
    <t xml:space="preserve">Total Sales </t>
  </si>
  <si>
    <t xml:space="preserve">Target Hit % </t>
  </si>
  <si>
    <t xml:space="preserve">Away From Target % </t>
  </si>
  <si>
    <t>Bksaubt</t>
  </si>
  <si>
    <t>Emhqvdb</t>
  </si>
  <si>
    <t>Mllajdh</t>
  </si>
  <si>
    <t>Gahgrej</t>
  </si>
  <si>
    <t>Ncljxgy</t>
  </si>
  <si>
    <t>Igfejyz</t>
  </si>
  <si>
    <t>Tabyiys</t>
  </si>
  <si>
    <t>Spivxdv</t>
  </si>
  <si>
    <t>Yxrlsik</t>
  </si>
  <si>
    <t>Tcgqsum</t>
  </si>
  <si>
    <t>Grand Total</t>
  </si>
  <si>
    <t>Emp Code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</si>
  <si>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</si>
  <si>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</si>
  <si>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</si>
  <si>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</si>
  <si>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</si>
  <si>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</si>
  <si>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</si>
  <si>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</si>
  <si>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</si>
  <si>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</t>
  </si>
  <si>
    <t>Away From Target %</t>
  </si>
  <si>
    <t>EMP0001</t>
  </si>
  <si>
    <t>Oncomgs</t>
  </si>
  <si>
    <t>East</t>
  </si>
  <si>
    <t>EMP0002</t>
  </si>
  <si>
    <t>Arlcjui</t>
  </si>
  <si>
    <t>South</t>
  </si>
  <si>
    <t>EMP0003</t>
  </si>
  <si>
    <t>Bkxjdkr</t>
  </si>
  <si>
    <t>EMP0004</t>
  </si>
  <si>
    <t>Uqndipp</t>
  </si>
  <si>
    <t>EMP0005</t>
  </si>
  <si>
    <t>Dmplgjp</t>
  </si>
  <si>
    <t>West</t>
  </si>
  <si>
    <t>EMP0006</t>
  </si>
  <si>
    <t>Qxysnpo</t>
  </si>
  <si>
    <t>EMP0007</t>
  </si>
  <si>
    <t>Pxnrtkk</t>
  </si>
  <si>
    <t>EMP0008</t>
  </si>
  <si>
    <t>Eanbuoq</t>
  </si>
  <si>
    <t>Central</t>
  </si>
  <si>
    <t>EMP0009</t>
  </si>
  <si>
    <t>Hghtybr</t>
  </si>
  <si>
    <t>EMP0010</t>
  </si>
  <si>
    <t>Xrhghrk</t>
  </si>
  <si>
    <t>EMP0011</t>
  </si>
  <si>
    <t>Dgfcfli</t>
  </si>
  <si>
    <t>EMP0012</t>
  </si>
  <si>
    <t>Uzqtjxq</t>
  </si>
  <si>
    <t>EMP0013</t>
  </si>
  <si>
    <t>Nidjgvy</t>
  </si>
  <si>
    <t>EMP0014</t>
  </si>
  <si>
    <t>Yowcuxy</t>
  </si>
  <si>
    <t>EMP0015</t>
  </si>
  <si>
    <t>Rvtuxxv</t>
  </si>
  <si>
    <t>EMP0016</t>
  </si>
  <si>
    <t>Gguquky</t>
  </si>
  <si>
    <t>EMP0017</t>
  </si>
  <si>
    <t>Kqmwavt</t>
  </si>
  <si>
    <t>EMP0018</t>
  </si>
  <si>
    <t>Acttdwt</t>
  </si>
  <si>
    <t>North</t>
  </si>
  <si>
    <t>EMP0019</t>
  </si>
  <si>
    <t>Dbiwahw</t>
  </si>
  <si>
    <t>EMP0020</t>
  </si>
  <si>
    <t>Kyemwpv</t>
  </si>
  <si>
    <t>EMP0021</t>
  </si>
  <si>
    <t>Hedkbuz</t>
  </si>
  <si>
    <t>EMP0022</t>
  </si>
  <si>
    <t>EMP0023</t>
  </si>
  <si>
    <t>Klerrlf</t>
  </si>
  <si>
    <t>EMP0024</t>
  </si>
  <si>
    <t>Ogcyegd</t>
  </si>
  <si>
    <t>EMP0025</t>
  </si>
  <si>
    <t>Nahbdbi</t>
  </si>
  <si>
    <t>EMP0026</t>
  </si>
  <si>
    <t>Stofovx</t>
  </si>
  <si>
    <t>EMP0027</t>
  </si>
  <si>
    <t>Jdiostr</t>
  </si>
  <si>
    <t>EMP0028</t>
  </si>
  <si>
    <t>Foyrmbd</t>
  </si>
  <si>
    <t>EMP0029</t>
  </si>
  <si>
    <t>Wyouypn</t>
  </si>
  <si>
    <t>EMP0030</t>
  </si>
  <si>
    <t>Jdllufk</t>
  </si>
  <si>
    <t>EMP0031</t>
  </si>
  <si>
    <t>Cdkfikd</t>
  </si>
  <si>
    <t>EMP0032</t>
  </si>
  <si>
    <t>Jcnqzgo</t>
  </si>
  <si>
    <t>EMP0033</t>
  </si>
  <si>
    <t>Lwlzmhr</t>
  </si>
  <si>
    <t>EMP0034</t>
  </si>
  <si>
    <t>Kfqwaov</t>
  </si>
  <si>
    <t>EMP0035</t>
  </si>
  <si>
    <t>EMP0036</t>
  </si>
  <si>
    <t>Itpsbdu</t>
  </si>
  <si>
    <t>EMP0037</t>
  </si>
  <si>
    <t>Jlsvcmq</t>
  </si>
  <si>
    <t>EMP0038</t>
  </si>
  <si>
    <t>Wkyqsqa</t>
  </si>
  <si>
    <t>EMP0039</t>
  </si>
  <si>
    <t>Wjxogqq</t>
  </si>
  <si>
    <t>EMP0040</t>
  </si>
  <si>
    <t>Atbfrhl</t>
  </si>
  <si>
    <t>EMP0041</t>
  </si>
  <si>
    <t>Jlptoqm</t>
  </si>
  <si>
    <t>EMP0042</t>
  </si>
  <si>
    <t>Ivjcmba</t>
  </si>
  <si>
    <t>EMP0043</t>
  </si>
  <si>
    <t>Axjkxlz</t>
  </si>
  <si>
    <t>EMP0044</t>
  </si>
  <si>
    <t>Hwtpbal</t>
  </si>
  <si>
    <t>EMP0045</t>
  </si>
  <si>
    <t>Ogvgapm</t>
  </si>
  <si>
    <t>EMP0046</t>
  </si>
  <si>
    <t>Jgptqka</t>
  </si>
  <si>
    <t>EMP0047</t>
  </si>
  <si>
    <t>Yrhwsgr</t>
  </si>
  <si>
    <t>EMP0048</t>
  </si>
  <si>
    <t>Polyiyr</t>
  </si>
  <si>
    <t>EMP0049</t>
  </si>
  <si>
    <t>Gcbojdo</t>
  </si>
  <si>
    <t>EMP0050</t>
  </si>
  <si>
    <t>Dbthmdh</t>
  </si>
  <si>
    <t>EMP0051</t>
  </si>
  <si>
    <t>Wdmgbkx</t>
  </si>
  <si>
    <t>EMP0052</t>
  </si>
  <si>
    <t>Gvfokno</t>
  </si>
  <si>
    <t>EMP0053</t>
  </si>
  <si>
    <t>Gunjdmu</t>
  </si>
  <si>
    <t>EMP0054</t>
  </si>
  <si>
    <t>Oymkets</t>
  </si>
  <si>
    <t>EMP0055</t>
  </si>
  <si>
    <t>Orpvflp</t>
  </si>
  <si>
    <t>EMP0056</t>
  </si>
  <si>
    <t>Eyvagoo</t>
  </si>
  <si>
    <t>EMP0057</t>
  </si>
  <si>
    <t>Oqbcwid</t>
  </si>
  <si>
    <t>EMP0058</t>
  </si>
  <si>
    <t>Vfddbfb</t>
  </si>
  <si>
    <t>EMP0059</t>
  </si>
  <si>
    <t>Zaegffz</t>
  </si>
  <si>
    <t>EMP0060</t>
  </si>
  <si>
    <t>Byxkxvy</t>
  </si>
  <si>
    <t>EMP0061</t>
  </si>
  <si>
    <t>Tfmmger</t>
  </si>
  <si>
    <t>EMP0062</t>
  </si>
  <si>
    <t>Zejoksd</t>
  </si>
  <si>
    <t>EMP0063</t>
  </si>
  <si>
    <t>Jnwnfnh</t>
  </si>
  <si>
    <t>EMP0064</t>
  </si>
  <si>
    <t>Hecwlhd</t>
  </si>
  <si>
    <t>EMP0065</t>
  </si>
  <si>
    <t>Kvqrzop</t>
  </si>
  <si>
    <t>EMP0066</t>
  </si>
  <si>
    <t>Nbwxoyp</t>
  </si>
  <si>
    <t>EMP0067</t>
  </si>
  <si>
    <t>Dnsiqjp</t>
  </si>
  <si>
    <t>EMP0068</t>
  </si>
  <si>
    <t>Tqimfwh</t>
  </si>
  <si>
    <t>EMP0069</t>
  </si>
  <si>
    <t>EMP0070</t>
  </si>
  <si>
    <t>Rhdabrp</t>
  </si>
  <si>
    <t>EMP0071</t>
  </si>
  <si>
    <t>Doyrqjt</t>
  </si>
  <si>
    <t>EMP0072</t>
  </si>
  <si>
    <t>Ocxmsjg</t>
  </si>
  <si>
    <t>EMP0073</t>
  </si>
  <si>
    <t>Zqulhwa</t>
  </si>
  <si>
    <t>EMP0074</t>
  </si>
  <si>
    <t>Ctokxfh</t>
  </si>
  <si>
    <t>EMP0075</t>
  </si>
  <si>
    <t>Wktzzwl</t>
  </si>
  <si>
    <t>EMP0076</t>
  </si>
  <si>
    <t>Grjjfuj</t>
  </si>
  <si>
    <t>EMP0077</t>
  </si>
  <si>
    <t>Qgwflcn</t>
  </si>
  <si>
    <t>EMP0078</t>
  </si>
  <si>
    <t>EMP0079</t>
  </si>
  <si>
    <t>Yskajyt</t>
  </si>
  <si>
    <t>EMP0080</t>
  </si>
  <si>
    <t>Eofwpxc</t>
  </si>
  <si>
    <t>EMP0081</t>
  </si>
  <si>
    <t>Eqfhajt</t>
  </si>
  <si>
    <t>EMP0082</t>
  </si>
  <si>
    <t>Shmubdl</t>
  </si>
  <si>
    <t>EMP0083</t>
  </si>
  <si>
    <t>Seclhce</t>
  </si>
  <si>
    <t>EMP0084</t>
  </si>
  <si>
    <t>Xbztujn</t>
  </si>
  <si>
    <t>EMP0085</t>
  </si>
  <si>
    <t>Orddypw</t>
  </si>
  <si>
    <t>EMP0086</t>
  </si>
  <si>
    <t>Belrhmh</t>
  </si>
  <si>
    <t>EMP0087</t>
  </si>
  <si>
    <t>Oqgxnaf</t>
  </si>
  <si>
    <t>EMP0088</t>
  </si>
  <si>
    <t>Jzxvxxv</t>
  </si>
  <si>
    <t>EMP0089</t>
  </si>
  <si>
    <t>Bkgcctx</t>
  </si>
  <si>
    <t>EMP0090</t>
  </si>
  <si>
    <t>Kzdxjdc</t>
  </si>
  <si>
    <t>EMP0091</t>
  </si>
  <si>
    <t>Lbjxzht</t>
  </si>
  <si>
    <t>EMP0092</t>
  </si>
  <si>
    <t>Qiodeqd</t>
  </si>
  <si>
    <t>EMP0093</t>
  </si>
  <si>
    <t>Iwbtdfx</t>
  </si>
  <si>
    <t>EMP0094</t>
  </si>
  <si>
    <t>Lyxtvsa</t>
  </si>
  <si>
    <t>EMP0095</t>
  </si>
  <si>
    <t>Uievdej</t>
  </si>
  <si>
    <t>EMP0096</t>
  </si>
  <si>
    <t>Glfuewi</t>
  </si>
  <si>
    <t>EMP0097</t>
  </si>
  <si>
    <t>Ghuotwe</t>
  </si>
  <si>
    <t>EMP0098</t>
  </si>
  <si>
    <t>Bdmhgyz</t>
  </si>
  <si>
    <t>EMP0099</t>
  </si>
  <si>
    <t>Chamlik</t>
  </si>
  <si>
    <t>EMP0100</t>
  </si>
  <si>
    <t>Yvyudmt</t>
  </si>
  <si>
    <t>EMP0101</t>
  </si>
  <si>
    <t>EMP0102</t>
  </si>
  <si>
    <t>Oxybpno</t>
  </si>
  <si>
    <t>EMP0103</t>
  </si>
  <si>
    <t>Nwutyml</t>
  </si>
  <si>
    <t>EMP0104</t>
  </si>
  <si>
    <t>Fodjawq</t>
  </si>
  <si>
    <t>EMP0105</t>
  </si>
  <si>
    <t>Trjkqvl</t>
  </si>
  <si>
    <t>EMP0106</t>
  </si>
  <si>
    <t>Gozbtan</t>
  </si>
  <si>
    <t>EMP0107</t>
  </si>
  <si>
    <t>Lqabmhe</t>
  </si>
  <si>
    <t>EMP0108</t>
  </si>
  <si>
    <t>Tzpvcfr</t>
  </si>
  <si>
    <t>EMP0109</t>
  </si>
  <si>
    <t>Ilhwfyl</t>
  </si>
  <si>
    <t>EMP0110</t>
  </si>
  <si>
    <t>Vcfrczo</t>
  </si>
  <si>
    <t>EMP0111</t>
  </si>
  <si>
    <t>Vlarcej</t>
  </si>
  <si>
    <t>EMP0112</t>
  </si>
  <si>
    <t>Rmffial</t>
  </si>
  <si>
    <t>EMP0113</t>
  </si>
  <si>
    <t>Cmxcyke</t>
  </si>
  <si>
    <t>EMP0114</t>
  </si>
  <si>
    <t>Qtddomv</t>
  </si>
  <si>
    <t>EMP0115</t>
  </si>
  <si>
    <t>Rmpmdnb</t>
  </si>
  <si>
    <t>EMP0116</t>
  </si>
  <si>
    <t>Iwzkocu</t>
  </si>
  <si>
    <t>EMP0117</t>
  </si>
  <si>
    <t>Xauetpy</t>
  </si>
  <si>
    <t>EMP0118</t>
  </si>
  <si>
    <t>Htlmsfk</t>
  </si>
  <si>
    <t>EMP0119</t>
  </si>
  <si>
    <t>Abwtmyt</t>
  </si>
  <si>
    <t>EMP0120</t>
  </si>
  <si>
    <t>Jamqvqw</t>
  </si>
  <si>
    <t>EMP0121</t>
  </si>
  <si>
    <t>EMP0122</t>
  </si>
  <si>
    <t>Iyqlbpi</t>
  </si>
  <si>
    <t>EMP0123</t>
  </si>
  <si>
    <t>Juiybjx</t>
  </si>
  <si>
    <t>EMP0124</t>
  </si>
  <si>
    <t>Oemhbin</t>
  </si>
  <si>
    <t>EMP0125</t>
  </si>
  <si>
    <t>Ssjajdz</t>
  </si>
  <si>
    <t>EMP0126</t>
  </si>
  <si>
    <t>Djqrqes</t>
  </si>
  <si>
    <t>EMP0127</t>
  </si>
  <si>
    <t>Bqrsqha</t>
  </si>
  <si>
    <t>EMP0128</t>
  </si>
  <si>
    <t>Mvqtokn</t>
  </si>
  <si>
    <t>EMP0129</t>
  </si>
  <si>
    <t>Uexsfdl</t>
  </si>
  <si>
    <t>EMP0130</t>
  </si>
  <si>
    <t>Qbdinog</t>
  </si>
  <si>
    <t>EMP0131</t>
  </si>
  <si>
    <t>Sxzjfos</t>
  </si>
  <si>
    <t>EMP0132</t>
  </si>
  <si>
    <t>Egmmmuc</t>
  </si>
  <si>
    <t>EMP0133</t>
  </si>
  <si>
    <t>Ixucyhv</t>
  </si>
  <si>
    <t>EMP0134</t>
  </si>
  <si>
    <t>Neyzthg</t>
  </si>
  <si>
    <t>EMP0135</t>
  </si>
  <si>
    <t>Wrrnzzg</t>
  </si>
  <si>
    <t>EMP0136</t>
  </si>
  <si>
    <t>Xuxrctt</t>
  </si>
  <si>
    <t>EMP0137</t>
  </si>
  <si>
    <t>Yzhkpyy</t>
  </si>
  <si>
    <t>EMP0138</t>
  </si>
  <si>
    <t>Lxcqvcb</t>
  </si>
  <si>
    <t>EMP0139</t>
  </si>
  <si>
    <t>Qclvldb</t>
  </si>
  <si>
    <t>EMP0140</t>
  </si>
  <si>
    <t>Drzjwwu</t>
  </si>
  <si>
    <t>EMP0141</t>
  </si>
  <si>
    <t>EMP0142</t>
  </si>
  <si>
    <t>Ogvrpnu</t>
  </si>
  <si>
    <t>EMP0143</t>
  </si>
  <si>
    <t>Sktszmo</t>
  </si>
  <si>
    <t>EMP0144</t>
  </si>
  <si>
    <t>Dukvmoa</t>
  </si>
  <si>
    <t>EMP0145</t>
  </si>
  <si>
    <t>EMP0146</t>
  </si>
  <si>
    <t>Plasfzm</t>
  </si>
  <si>
    <t>EMP0147</t>
  </si>
  <si>
    <t>Sugyork</t>
  </si>
  <si>
    <t>EMP0148</t>
  </si>
  <si>
    <t>Bfkundt</t>
  </si>
  <si>
    <t>EMP0149</t>
  </si>
  <si>
    <t>Puuwolq</t>
  </si>
  <si>
    <t>EMP0150</t>
  </si>
  <si>
    <t>Bmydjab</t>
  </si>
  <si>
    <t>EMP0151</t>
  </si>
  <si>
    <t>Jfkrjjw</t>
  </si>
  <si>
    <t>EMP0152</t>
  </si>
  <si>
    <t>Imbtmsy</t>
  </si>
  <si>
    <t>EMP0153</t>
  </si>
  <si>
    <t>Bpebewm</t>
  </si>
  <si>
    <t>EMP0154</t>
  </si>
  <si>
    <t>Qlmlzvf</t>
  </si>
  <si>
    <t>EMP0155</t>
  </si>
  <si>
    <t>Udhzygt</t>
  </si>
  <si>
    <t>EMP0156</t>
  </si>
  <si>
    <t>Suermwp</t>
  </si>
  <si>
    <t>EMP0157</t>
  </si>
  <si>
    <t>Bxnxbhr</t>
  </si>
  <si>
    <t>EMP0158</t>
  </si>
  <si>
    <t>Sltgncm</t>
  </si>
  <si>
    <t>EMP0159</t>
  </si>
  <si>
    <t>Xxoxtvx</t>
  </si>
  <si>
    <t>EMP0160</t>
  </si>
  <si>
    <t>Dfjzmxs</t>
  </si>
  <si>
    <t>EMP0161</t>
  </si>
  <si>
    <t>Qfkpjnw</t>
  </si>
  <si>
    <t>EMP0162</t>
  </si>
  <si>
    <t>Unwvoti</t>
  </si>
  <si>
    <t>EMP0163</t>
  </si>
  <si>
    <t>Bfdvdxs</t>
  </si>
  <si>
    <t>EMP0164</t>
  </si>
  <si>
    <t>EMP0165</t>
  </si>
  <si>
    <t>Xlqumwm</t>
  </si>
  <si>
    <t>EMP0166</t>
  </si>
  <si>
    <t>Xchvgee</t>
  </si>
  <si>
    <t>EMP0167</t>
  </si>
  <si>
    <t>Mgxbfix</t>
  </si>
  <si>
    <t>EMP0168</t>
  </si>
  <si>
    <t>Xtoldbi</t>
  </si>
  <si>
    <t>EMP0169</t>
  </si>
  <si>
    <t>EMP0170</t>
  </si>
  <si>
    <t>Ykcgzfx</t>
  </si>
  <si>
    <t>EMP0171</t>
  </si>
  <si>
    <t>Ymtqqnd</t>
  </si>
  <si>
    <t>EMP0172</t>
  </si>
  <si>
    <t>Shjwuqf</t>
  </si>
  <si>
    <t>EMP0173</t>
  </si>
  <si>
    <t>Casibls</t>
  </si>
  <si>
    <t>EMP0174</t>
  </si>
  <si>
    <t>Qcuknzx</t>
  </si>
  <si>
    <t>EMP0175</t>
  </si>
  <si>
    <t>Kkloyux</t>
  </si>
  <si>
    <t>EMP0176</t>
  </si>
  <si>
    <t>Gmrzshy</t>
  </si>
  <si>
    <t>EMP0177</t>
  </si>
  <si>
    <t>Khzzaoh</t>
  </si>
  <si>
    <t>EMP0178</t>
  </si>
  <si>
    <t>Xaehcjj</t>
  </si>
  <si>
    <t>EMP0179</t>
  </si>
  <si>
    <t>Oaxugtt</t>
  </si>
  <si>
    <t>EMP0180</t>
  </si>
  <si>
    <t>Bstgewv</t>
  </si>
  <si>
    <t>EMP0181</t>
  </si>
  <si>
    <t>Detdtvo</t>
  </si>
  <si>
    <t>EMP0182</t>
  </si>
  <si>
    <t>Gvacubc</t>
  </si>
  <si>
    <t>EMP0183</t>
  </si>
  <si>
    <t>Eyvadbr</t>
  </si>
  <si>
    <t>EMP0184</t>
  </si>
  <si>
    <t>Qzrgzqa</t>
  </si>
  <si>
    <t>EMP0185</t>
  </si>
  <si>
    <t>Hivhiqd</t>
  </si>
  <si>
    <t>EMP0186</t>
  </si>
  <si>
    <t>Ndryymh</t>
  </si>
  <si>
    <t>EMP0187</t>
  </si>
  <si>
    <t>Kgewuvm</t>
  </si>
  <si>
    <t>EMP0188</t>
  </si>
  <si>
    <t>Xiyhuuu</t>
  </si>
  <si>
    <t>EMP0189</t>
  </si>
  <si>
    <t>Panhkey</t>
  </si>
  <si>
    <t>EMP0190</t>
  </si>
  <si>
    <t>Nppycwc</t>
  </si>
  <si>
    <t>EMP0191</t>
  </si>
  <si>
    <t>Xzmdkdl</t>
  </si>
  <si>
    <t>EMP0192</t>
  </si>
  <si>
    <t>Ycylets</t>
  </si>
  <si>
    <t>EMP0193</t>
  </si>
  <si>
    <t>Jqnxcys</t>
  </si>
  <si>
    <t>EMP0194</t>
  </si>
  <si>
    <t>Nmevbex</t>
  </si>
  <si>
    <t>EMP0195</t>
  </si>
  <si>
    <t>Iiilqpf</t>
  </si>
  <si>
    <t>EMP0196</t>
  </si>
  <si>
    <t>Kflexrc</t>
  </si>
  <si>
    <t>EMP0197</t>
  </si>
  <si>
    <t>Vokktjh</t>
  </si>
  <si>
    <t>EMP0198</t>
  </si>
  <si>
    <t>Ilrwwsn</t>
  </si>
  <si>
    <t>EMP0199</t>
  </si>
  <si>
    <t>Zbcfrzm</t>
  </si>
  <si>
    <t>EMP0200</t>
  </si>
  <si>
    <t>Bwjmysz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</si>
</sst>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9" fontId="1" fillId="2" borderId="1" xfId="0" applyNumberFormat="1" applyFont="1" applyFill="1" applyBorder="1"/>
    <xf numFmtId="9" fontId="0" fillId="0" borderId="1" xfId="0" applyNumberFormat="1" applyBorder="1"/>
    <xf numFmtId="9" fontId="0" fillId="0" borderId="0" xfId="0" applyNumberFormat="1"/>
    <xf numFmtId="2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0" borderId="1" xfId="0" pivotButton="1" applyBorder="1"/>
    <xf numFmtId="2" fontId="0" fillId="0" borderId="1" xfId="0" applyNumberFormat="1" applyBorder="1"/>
    <xf numFmtId="0" fontId="0" fillId="3" borderId="0" xfId="0" applyFill="1"/>
    <xf numFmtId="0" fontId="0" fillId="0" borderId="1" xfId="0" applyNumberFormat="1" applyBorder="1"/>
  </cellXfs>
  <cellStyles count="1">
    <cellStyle name="Normal" xfId="0" builtinId="0"/>
  </cellStyles>
  <dxfs count="28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numFmt numFmtId="2" formatCode="0.0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[Sales_Executive_Data_200_Entries.xlsx]Sheet1!PivotTable1</c:name>
    <c:fmtId val="0"/>
  </c:pivotSource>
  <c:chart>
    <c:autoTitleDeleted val="1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Bksaubt</c:v>
                </c:pt>
                <c:pt idx="1">
                  <c:v>Mllajdh</c:v>
                </c:pt>
                <c:pt idx="2">
                  <c:v>Ncljxgy</c:v>
                </c:pt>
                <c:pt idx="3">
                  <c:v>Tabyiys</c:v>
                </c:pt>
                <c:pt idx="4">
                  <c:v>Yxrlsik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614</c:v>
                </c:pt>
                <c:pt idx="1">
                  <c:v>588</c:v>
                </c:pt>
                <c:pt idx="2">
                  <c:v>570</c:v>
                </c:pt>
                <c:pt idx="3">
                  <c:v>618</c:v>
                </c:pt>
                <c:pt idx="4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8-4234-A2A1-DDE1883B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2819591"/>
        <c:axId val="26591239"/>
      </c:barChart>
      <c:catAx>
        <c:axId val="1442819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1239"/>
        <c:crosses val="autoZero"/>
        <c:auto val="1"/>
        <c:lblAlgn val="ctr"/>
        <c:lblOffset val="100"/>
        <c:noMultiLvlLbl val="0"/>
      </c:catAx>
      <c:valAx>
        <c:axId val="26591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81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[Sales_Executive_Data_200_Entries.xlsx]Sheet1!PivotTable3</c:name>
    <c:fmtId val="0"/>
  </c:pivotSource>
  <c:chart>
    <c:autoTitleDeleted val="1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EE-4EA4-91D9-90CB9A590138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EE-4EA4-91D9-90CB9A590138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EE-4EA4-91D9-90CB9A590138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EE-4EA4-91D9-90CB9A590138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5EE-4EA4-91D9-90CB9A590138}"/>
              </c:ext>
            </c:extLst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5EE-4EA4-91D9-90CB9A590138}"/>
              </c:ext>
            </c:extLst>
          </c:dPt>
          <c:cat>
            <c:strRef>
              <c:f>Sheet1!$G$4:$G$8</c:f>
              <c:strCache>
                <c:ptCount val="5"/>
                <c:pt idx="0">
                  <c:v>Bksaubt</c:v>
                </c:pt>
                <c:pt idx="1">
                  <c:v>Mllajdh</c:v>
                </c:pt>
                <c:pt idx="2">
                  <c:v>Ncljxgy</c:v>
                </c:pt>
                <c:pt idx="3">
                  <c:v>Tabyiys</c:v>
                </c:pt>
                <c:pt idx="4">
                  <c:v>Yxrlsik</c:v>
                </c:pt>
              </c:strCache>
            </c:strRef>
          </c:cat>
          <c:val>
            <c:numRef>
              <c:f>Sheet1!$H$4:$H$8</c:f>
              <c:numCache>
                <c:formatCode>General</c:formatCode>
                <c:ptCount val="5"/>
                <c:pt idx="0">
                  <c:v>122.8</c:v>
                </c:pt>
                <c:pt idx="1">
                  <c:v>117.6</c:v>
                </c:pt>
                <c:pt idx="2">
                  <c:v>114</c:v>
                </c:pt>
                <c:pt idx="3">
                  <c:v>123.6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4-4FDF-A764-C6D770907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[Sales_Executive_Data_200_Entries.xlsx]Sheet1!PivotTable4</c:name>
    <c:fmtId val="1"/>
  </c:pivotSource>
  <c:chart>
    <c:autoTitleDeleted val="1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Sheet1!$J$4:$J$8</c:f>
              <c:strCache>
                <c:ptCount val="5"/>
                <c:pt idx="0">
                  <c:v>Emhqvdb</c:v>
                </c:pt>
                <c:pt idx="1">
                  <c:v>Gahgrej</c:v>
                </c:pt>
                <c:pt idx="2">
                  <c:v>Igfejyz</c:v>
                </c:pt>
                <c:pt idx="3">
                  <c:v>Spivxdv</c:v>
                </c:pt>
                <c:pt idx="4">
                  <c:v>Tcgqsum</c:v>
                </c:pt>
              </c:strCache>
            </c:strRef>
          </c:cat>
          <c:val>
            <c:numRef>
              <c:f>Sheet1!$K$4:$K$8</c:f>
              <c:numCache>
                <c:formatCode>0%</c:formatCode>
                <c:ptCount val="5"/>
                <c:pt idx="0">
                  <c:v>0.24199999999999999</c:v>
                </c:pt>
                <c:pt idx="1">
                  <c:v>0.23</c:v>
                </c:pt>
                <c:pt idx="2">
                  <c:v>0.22800000000000001</c:v>
                </c:pt>
                <c:pt idx="3">
                  <c:v>0.33</c:v>
                </c:pt>
                <c:pt idx="4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1-42CE-A092-200E33A79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884231"/>
        <c:axId val="1360886279"/>
      </c:lineChart>
      <c:catAx>
        <c:axId val="136088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86279"/>
        <c:crosses val="autoZero"/>
        <c:auto val="1"/>
        <c:lblAlgn val="ctr"/>
        <c:lblOffset val="100"/>
        <c:noMultiLvlLbl val="0"/>
      </c:catAx>
      <c:valAx>
        <c:axId val="1360886279"/>
        <c:scaling>
          <c:orientation val="minMax"/>
          <c:max val="0.5"/>
          <c:min val="0.2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84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171450</xdr:rowOff>
    </xdr:from>
    <xdr:to>
      <xdr:col>4</xdr:col>
      <xdr:colOff>971550</xdr:colOff>
      <xdr:row>22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1ABC9-8085-259A-AEA0-D89CB1A6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10</xdr:row>
      <xdr:rowOff>9525</xdr:rowOff>
    </xdr:from>
    <xdr:to>
      <xdr:col>7</xdr:col>
      <xdr:colOff>1095375</xdr:colOff>
      <xdr:row>22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F8025E-2680-9735-0AAB-8FC6B0ED16BE}"/>
            </a:ext>
            <a:ext uri="{147F2762-F138-4A5C-976F-8EAC2B608ADB}">
              <a16:predDERef xmlns:a16="http://schemas.microsoft.com/office/drawing/2014/main" pred="{88B1ABC9-8085-259A-AEA0-D89CB1A67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228600</xdr:rowOff>
    </xdr:from>
    <xdr:to>
      <xdr:col>10</xdr:col>
      <xdr:colOff>1209675</xdr:colOff>
      <xdr:row>1</xdr:row>
      <xdr:rowOff>323850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45C1EB86-D176-D9DF-1D3F-D8B65F7B6648}"/>
                </a:ext>
                <a:ext uri="{147F2762-F138-4A5C-976F-8EAC2B608ADB}">
                  <a16:predDERef xmlns:a16="http://schemas.microsoft.com/office/drawing/2014/main" pred="{E9F8025E-2680-9735-0AAB-8FC6B0ED1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8600"/>
              <a:ext cx="10382250" cy="504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9525</xdr:colOff>
      <xdr:row>10</xdr:row>
      <xdr:rowOff>28575</xdr:rowOff>
    </xdr:from>
    <xdr:to>
      <xdr:col>11</xdr:col>
      <xdr:colOff>19050</xdr:colOff>
      <xdr:row>23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145DA9-3501-7178-FC0B-3F4B4E71C17B}"/>
            </a:ext>
            <a:ext uri="{147F2762-F138-4A5C-976F-8EAC2B608ADB}">
              <a16:predDERef xmlns:a16="http://schemas.microsoft.com/office/drawing/2014/main" pred="{45C1EB86-D176-D9DF-1D3F-D8B65F7B6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3.676199189817" createdVersion="8" refreshedVersion="8" minRefreshableVersion="3" recordCount="200" xr:uid="{DB69A0B7-1FD0-418A-A935-0ABED6551FB3}">
  <cacheSource type="worksheet">
    <worksheetSource ref="A1:M201" sheet="Sales Data"/>
  </cacheSource>
  <cacheFields count="13">
    <cacheField name="Emp Code" numFmtId="0">
      <sharedItems count="200">
        <s v="EMP0001"/>
        <s v="EMP0002"/>
        <s v="EMP0003"/>
        <s v="EMP0004"/>
        <s v="EMP0005"/>
        <s v="EMP0006"/>
        <s v="EMP0007"/>
        <s v="EMP0008"/>
        <s v="EMP0009"/>
        <s v="EMP0010"/>
        <s v="EMP0011"/>
        <s v="EMP0012"/>
        <s v="EMP0013"/>
        <s v="EMP0014"/>
        <s v="EMP0015"/>
        <s v="EMP0016"/>
        <s v="EMP0017"/>
        <s v="EMP0018"/>
        <s v="EMP0019"/>
        <s v="EMP0020"/>
        <s v="EMP0021"/>
        <s v="EMP0022"/>
        <s v="EMP0023"/>
        <s v="EMP0024"/>
        <s v="EMP0025"/>
        <s v="EMP0026"/>
        <s v="EMP0027"/>
        <s v="EMP0028"/>
        <s v="EMP0029"/>
        <s v="EMP0030"/>
        <s v="EMP0031"/>
        <s v="EMP0032"/>
        <s v="EMP0033"/>
        <s v="EMP0034"/>
        <s v="EMP0035"/>
        <s v="EMP0036"/>
        <s v="EMP0037"/>
        <s v="EMP0038"/>
        <s v="EMP0039"/>
        <s v="EMP0040"/>
        <s v="EMP0041"/>
        <s v="EMP0042"/>
        <s v="EMP0043"/>
        <s v="EMP0044"/>
        <s v="EMP0045"/>
        <s v="EMP0046"/>
        <s v="EMP0047"/>
        <s v="EMP0048"/>
        <s v="EMP0049"/>
        <s v="EMP0050"/>
        <s v="EMP0051"/>
        <s v="EMP0052"/>
        <s v="EMP0053"/>
        <s v="EMP0054"/>
        <s v="EMP0055"/>
        <s v="EMP0056"/>
        <s v="EMP0057"/>
        <s v="EMP0058"/>
        <s v="EMP0059"/>
        <s v="EMP0060"/>
        <s v="EMP0061"/>
        <s v="EMP0062"/>
        <s v="EMP0063"/>
        <s v="EMP0064"/>
        <s v="EMP0065"/>
        <s v="EMP0066"/>
        <s v="EMP0067"/>
        <s v="EMP0068"/>
        <s v="EMP0069"/>
        <s v="EMP0070"/>
        <s v="EMP0071"/>
        <s v="EMP0072"/>
        <s v="EMP0073"/>
        <s v="EMP0074"/>
        <s v="EMP0075"/>
        <s v="EMP0076"/>
        <s v="EMP0077"/>
        <s v="EMP0078"/>
        <s v="EMP0079"/>
        <s v="EMP0080"/>
        <s v="EMP0081"/>
        <s v="EMP0082"/>
        <s v="EMP0083"/>
        <s v="EMP0084"/>
        <s v="EMP0085"/>
        <s v="EMP0086"/>
        <s v="EMP0087"/>
        <s v="EMP0088"/>
        <s v="EMP0089"/>
        <s v="EMP0090"/>
        <s v="EMP0091"/>
        <s v="EMP0092"/>
        <s v="EMP0093"/>
        <s v="EMP0094"/>
        <s v="EMP0095"/>
        <s v="EMP0096"/>
        <s v="EMP0097"/>
        <s v="EMP0098"/>
        <s v="EMP0099"/>
        <s v="EMP0100"/>
        <s v="EMP0101"/>
        <s v="EMP0102"/>
        <s v="EMP0103"/>
        <s v="EMP0104"/>
        <s v="EMP0105"/>
        <s v="EMP0106"/>
        <s v="EMP0107"/>
        <s v="EMP0108"/>
        <s v="EMP0109"/>
        <s v="EMP0110"/>
        <s v="EMP0111"/>
        <s v="EMP0112"/>
        <s v="EMP0113"/>
        <s v="EMP0114"/>
        <s v="EMP0115"/>
        <s v="EMP0116"/>
        <s v="EMP0117"/>
        <s v="EMP0118"/>
        <s v="EMP0119"/>
        <s v="EMP0120"/>
        <s v="EMP0121"/>
        <s v="EMP0122"/>
        <s v="EMP0123"/>
        <s v="EMP0124"/>
        <s v="EMP0125"/>
        <s v="EMP0126"/>
        <s v="EMP0127"/>
        <s v="EMP0128"/>
        <s v="EMP0129"/>
        <s v="EMP0130"/>
        <s v="EMP0131"/>
        <s v="EMP0132"/>
        <s v="EMP0133"/>
        <s v="EMP0134"/>
        <s v="EMP0135"/>
        <s v="EMP0136"/>
        <s v="EMP0137"/>
        <s v="EMP0138"/>
        <s v="EMP0139"/>
        <s v="EMP0140"/>
        <s v="EMP0141"/>
        <s v="EMP0142"/>
        <s v="EMP0143"/>
        <s v="EMP0144"/>
        <s v="EMP0145"/>
        <s v="EMP0146"/>
        <s v="EMP0147"/>
        <s v="EMP0148"/>
        <s v="EMP0149"/>
        <s v="EMP0150"/>
        <s v="EMP0151"/>
        <s v="EMP0152"/>
        <s v="EMP0153"/>
        <s v="EMP0154"/>
        <s v="EMP0155"/>
        <s v="EMP0156"/>
        <s v="EMP0157"/>
        <s v="EMP0158"/>
        <s v="EMP0159"/>
        <s v="EMP0160"/>
        <s v="EMP0161"/>
        <s v="EMP0162"/>
        <s v="EMP0163"/>
        <s v="EMP0164"/>
        <s v="EMP0165"/>
        <s v="EMP0166"/>
        <s v="EMP0167"/>
        <s v="EMP0168"/>
        <s v="EMP0169"/>
        <s v="EMP0170"/>
        <s v="EMP0171"/>
        <s v="EMP0172"/>
        <s v="EMP0173"/>
        <s v="EMP0174"/>
        <s v="EMP0175"/>
        <s v="EMP0176"/>
        <s v="EMP0177"/>
        <s v="EMP0178"/>
        <s v="EMP0179"/>
        <s v="EMP0180"/>
        <s v="EMP0181"/>
        <s v="EMP0182"/>
        <s v="EMP0183"/>
        <s v="EMP0184"/>
        <s v="EMP0185"/>
        <s v="EMP0186"/>
        <s v="EMP0187"/>
        <s v="EMP0188"/>
        <s v="EMP0189"/>
        <s v="EMP0190"/>
        <s v="EMP0191"/>
        <s v="EMP0192"/>
        <s v="EMP0193"/>
        <s v="EMP0194"/>
        <s v="EMP0195"/>
        <s v="EMP0196"/>
        <s v="EMP0197"/>
        <s v="EMP0198"/>
        <s v="EMP0199"/>
        <s v="EMP0200"/>
      </sharedItems>
    </cacheField>
    <cacheField name="Sales Executive" numFmtId="0">
      <sharedItems count="200">
        <s v="Oncomgs"/>
        <s v="Arlcjui"/>
        <s v="Bkxjdkr"/>
        <s v="Uqndipp"/>
        <s v="Dmplgjp"/>
        <s v="Qxysnpo"/>
        <s v="Pxnrtkk"/>
        <s v="Eanbuoq"/>
        <s v="Hghtybr"/>
        <s v="Xrhghrk"/>
        <s v="Dgfcfli"/>
        <s v="Uzqtjxq"/>
        <s v="Nidjgvy"/>
        <s v="Yowcuxy"/>
        <s v="Rvtuxxv"/>
        <s v="Gguquky"/>
        <s v="Kqmwavt"/>
        <s v="Acttdwt"/>
        <s v="Dbiwahw"/>
        <s v="Kyemwpv"/>
        <s v="Hedkbuz"/>
        <s v="Tcgqsum"/>
        <s v="Klerrlf"/>
        <s v="Ogcyegd"/>
        <s v="Nahbdbi"/>
        <s v="Stofovx"/>
        <s v="Jdiostr"/>
        <s v="Foyrmbd"/>
        <s v="Wyouypn"/>
        <s v="Jdllufk"/>
        <s v="Cdkfikd"/>
        <s v="Jcnqzgo"/>
        <s v="Lwlzmhr"/>
        <s v="Kfqwaov"/>
        <s v="Yxrlsik"/>
        <s v="Itpsbdu"/>
        <s v="Jlsvcmq"/>
        <s v="Wkyqsqa"/>
        <s v="Wjxogqq"/>
        <s v="Atbfrhl"/>
        <s v="Jlptoqm"/>
        <s v="Ivjcmba"/>
        <s v="Axjkxlz"/>
        <s v="Hwtpbal"/>
        <s v="Ogvgapm"/>
        <s v="Jgptqka"/>
        <s v="Yrhwsgr"/>
        <s v="Polyiyr"/>
        <s v="Gcbojdo"/>
        <s v="Dbthmdh"/>
        <s v="Wdmgbkx"/>
        <s v="Gvfokno"/>
        <s v="Gunjdmu"/>
        <s v="Oymkets"/>
        <s v="Orpvflp"/>
        <s v="Eyvagoo"/>
        <s v="Oqbcwid"/>
        <s v="Vfddbfb"/>
        <s v="Zaegffz"/>
        <s v="Byxkxvy"/>
        <s v="Tfmmger"/>
        <s v="Zejoksd"/>
        <s v="Jnwnfnh"/>
        <s v="Hecwlhd"/>
        <s v="Kvqrzop"/>
        <s v="Nbwxoyp"/>
        <s v="Dnsiqjp"/>
        <s v="Tqimfwh"/>
        <s v="Gahgrej"/>
        <s v="Rhdabrp"/>
        <s v="Doyrqjt"/>
        <s v="Ocxmsjg"/>
        <s v="Zqulhwa"/>
        <s v="Ctokxfh"/>
        <s v="Wktzzwl"/>
        <s v="Grjjfuj"/>
        <s v="Qgwflcn"/>
        <s v="Ncljxgy"/>
        <s v="Yskajyt"/>
        <s v="Eofwpxc"/>
        <s v="Eqfhajt"/>
        <s v="Shmubdl"/>
        <s v="Seclhce"/>
        <s v="Xbztujn"/>
        <s v="Orddypw"/>
        <s v="Belrhmh"/>
        <s v="Oqgxnaf"/>
        <s v="Jzxvxxv"/>
        <s v="Bkgcctx"/>
        <s v="Kzdxjdc"/>
        <s v="Lbjxzht"/>
        <s v="Qiodeqd"/>
        <s v="Iwbtdfx"/>
        <s v="Lyxtvsa"/>
        <s v="Uievdej"/>
        <s v="Glfuewi"/>
        <s v="Ghuotwe"/>
        <s v="Bdmhgyz"/>
        <s v="Chamlik"/>
        <s v="Yvyudmt"/>
        <s v="Emhqvdb"/>
        <s v="Oxybpno"/>
        <s v="Nwutyml"/>
        <s v="Fodjawq"/>
        <s v="Trjkqvl"/>
        <s v="Gozbtan"/>
        <s v="Lqabmhe"/>
        <s v="Tzpvcfr"/>
        <s v="Ilhwfyl"/>
        <s v="Vcfrczo"/>
        <s v="Vlarcej"/>
        <s v="Rmffial"/>
        <s v="Cmxcyke"/>
        <s v="Qtddomv"/>
        <s v="Rmpmdnb"/>
        <s v="Iwzkocu"/>
        <s v="Xauetpy"/>
        <s v="Htlmsfk"/>
        <s v="Abwtmyt"/>
        <s v="Jamqvqw"/>
        <s v="Spivxdv"/>
        <s v="Iyqlbpi"/>
        <s v="Juiybjx"/>
        <s v="Oemhbin"/>
        <s v="Ssjajdz"/>
        <s v="Djqrqes"/>
        <s v="Bqrsqha"/>
        <s v="Mvqtokn"/>
        <s v="Uexsfdl"/>
        <s v="Qbdinog"/>
        <s v="Sxzjfos"/>
        <s v="Egmmmuc"/>
        <s v="Ixucyhv"/>
        <s v="Neyzthg"/>
        <s v="Wrrnzzg"/>
        <s v="Xuxrctt"/>
        <s v="Yzhkpyy"/>
        <s v="Lxcqvcb"/>
        <s v="Qclvldb"/>
        <s v="Drzjwwu"/>
        <s v="Bksaubt"/>
        <s v="Ogvrpnu"/>
        <s v="Sktszmo"/>
        <s v="Dukvmoa"/>
        <s v="Mllajdh"/>
        <s v="Plasfzm"/>
        <s v="Sugyork"/>
        <s v="Bfkundt"/>
        <s v="Puuwolq"/>
        <s v="Bmydjab"/>
        <s v="Jfkrjjw"/>
        <s v="Imbtmsy"/>
        <s v="Bpebewm"/>
        <s v="Qlmlzvf"/>
        <s v="Udhzygt"/>
        <s v="Suermwp"/>
        <s v="Bxnxbhr"/>
        <s v="Sltgncm"/>
        <s v="Xxoxtvx"/>
        <s v="Dfjzmxs"/>
        <s v="Qfkpjnw"/>
        <s v="Unwvoti"/>
        <s v="Bfdvdxs"/>
        <s v="Igfejyz"/>
        <s v="Xlqumwm"/>
        <s v="Xchvgee"/>
        <s v="Mgxbfix"/>
        <s v="Xtoldbi"/>
        <s v="Tabyiys"/>
        <s v="Ykcgzfx"/>
        <s v="Ymtqqnd"/>
        <s v="Shjwuqf"/>
        <s v="Casibls"/>
        <s v="Qcuknzx"/>
        <s v="Kkloyux"/>
        <s v="Gmrzshy"/>
        <s v="Khzzaoh"/>
        <s v="Xaehcjj"/>
        <s v="Oaxugtt"/>
        <s v="Bstgewv"/>
        <s v="Detdtvo"/>
        <s v="Gvacubc"/>
        <s v="Eyvadbr"/>
        <s v="Qzrgzqa"/>
        <s v="Hivhiqd"/>
        <s v="Ndryymh"/>
        <s v="Kgewuvm"/>
        <s v="Xiyhuuu"/>
        <s v="Panhkey"/>
        <s v="Nppycwc"/>
        <s v="Xzmdkdl"/>
        <s v="Ycylets"/>
        <s v="Jqnxcys"/>
        <s v="Nmevbex"/>
        <s v="Iiilqpf"/>
        <s v="Kflexrc"/>
        <s v="Vokktjh"/>
        <s v="Ilrwwsn"/>
        <s v="Zbcfrzm"/>
        <s v="Bwjmysz"/>
      </sharedItems>
    </cacheField>
    <cacheField name="Region" numFmtId="0">
      <sharedItems count="5">
        <s v="East"/>
        <s v="South"/>
        <s v="West"/>
        <s v="Central"/>
        <s v="North"/>
      </sharedItems>
    </cacheField>
    <cacheField name="Day1" numFmtId="0">
      <sharedItems containsSemiMixedTypes="0" containsString="0" containsNumber="1" containsInteger="1" minValue="40" maxValue="150"/>
    </cacheField>
    <cacheField name="Day2" numFmtId="0">
      <sharedItems containsSemiMixedTypes="0" containsString="0" containsNumber="1" containsInteger="1" minValue="40" maxValue="150"/>
    </cacheField>
    <cacheField name="Day3" numFmtId="0">
      <sharedItems containsSemiMixedTypes="0" containsString="0" containsNumber="1" containsInteger="1" minValue="41" maxValue="150"/>
    </cacheField>
    <cacheField name="Day4" numFmtId="0">
      <sharedItems containsSemiMixedTypes="0" containsString="0" containsNumber="1" containsInteger="1" minValue="40" maxValue="150"/>
    </cacheField>
    <cacheField name="Day5" numFmtId="0">
      <sharedItems containsSemiMixedTypes="0" containsString="0" containsNumber="1" containsInteger="1" minValue="40" maxValue="150"/>
    </cacheField>
    <cacheField name="Total Sales" numFmtId="0">
      <sharedItems containsSemiMixedTypes="0" containsString="0" containsNumber="1" containsInteger="1" minValue="283" maxValue="653"/>
    </cacheField>
    <cacheField name="Target" numFmtId="0">
      <sharedItems containsSemiMixedTypes="0" containsString="0" containsNumber="1" containsInteger="1" minValue="500" maxValue="500" count="1">
        <n v="500"/>
      </sharedItems>
    </cacheField>
    <cacheField name="Target Hit %" numFmtId="0">
      <sharedItems containsSemiMixedTypes="0" containsString="0" containsNumber="1" minValue="56.6" maxValue="130.6"/>
    </cacheField>
    <cacheField name="Away From Target" numFmtId="0">
      <sharedItems containsSemiMixedTypes="0" containsString="0" containsNumber="1" containsInteger="1" minValue="-153" maxValue="217"/>
    </cacheField>
    <cacheField name="Away From Target %" numFmtId="9">
      <sharedItems containsSemiMixedTypes="0" containsString="0" containsNumber="1" minValue="0" maxValue="0.434"/>
    </cacheField>
  </cacheFields>
  <extLst>
    <ext xmlns:x14="http://schemas.microsoft.com/office/spreadsheetml/2009/9/main" uri="{725AE2AE-9491-48be-B2B4-4EB974FC3084}">
      <x14:pivotCacheDefinition pivotCacheId="5906985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132"/>
    <n v="98"/>
    <n v="102"/>
    <n v="114"/>
    <n v="148"/>
    <n v="594"/>
    <x v="0"/>
    <n v="118.8"/>
    <n v="-94"/>
    <n v="0"/>
  </r>
  <r>
    <x v="1"/>
    <x v="1"/>
    <x v="1"/>
    <n v="88"/>
    <n v="73"/>
    <n v="63"/>
    <n v="74"/>
    <n v="82"/>
    <n v="380"/>
    <x v="0"/>
    <n v="76"/>
    <n v="120"/>
    <n v="0.24"/>
  </r>
  <r>
    <x v="2"/>
    <x v="2"/>
    <x v="1"/>
    <n v="78"/>
    <n v="66"/>
    <n v="106"/>
    <n v="110"/>
    <n v="68"/>
    <n v="428"/>
    <x v="0"/>
    <n v="85.6"/>
    <n v="72"/>
    <n v="0.14399999999999999"/>
  </r>
  <r>
    <x v="3"/>
    <x v="3"/>
    <x v="0"/>
    <n v="42"/>
    <n v="78"/>
    <n v="93"/>
    <n v="111"/>
    <n v="124"/>
    <n v="448"/>
    <x v="0"/>
    <n v="89.6"/>
    <n v="52"/>
    <n v="0.104"/>
  </r>
  <r>
    <x v="4"/>
    <x v="4"/>
    <x v="2"/>
    <n v="108"/>
    <n v="42"/>
    <n v="122"/>
    <n v="147"/>
    <n v="69"/>
    <n v="488"/>
    <x v="0"/>
    <n v="97.6"/>
    <n v="12"/>
    <n v="2.4E-2"/>
  </r>
  <r>
    <x v="5"/>
    <x v="5"/>
    <x v="1"/>
    <n v="63"/>
    <n v="140"/>
    <n v="113"/>
    <n v="40"/>
    <n v="53"/>
    <n v="409"/>
    <x v="0"/>
    <n v="81.8"/>
    <n v="91"/>
    <n v="0.182"/>
  </r>
  <r>
    <x v="6"/>
    <x v="6"/>
    <x v="2"/>
    <n v="62"/>
    <n v="89"/>
    <n v="134"/>
    <n v="126"/>
    <n v="74"/>
    <n v="485"/>
    <x v="0"/>
    <n v="97"/>
    <n v="15"/>
    <n v="0.03"/>
  </r>
  <r>
    <x v="7"/>
    <x v="7"/>
    <x v="3"/>
    <n v="123"/>
    <n v="125"/>
    <n v="147"/>
    <n v="73"/>
    <n v="72"/>
    <n v="540"/>
    <x v="0"/>
    <n v="108"/>
    <n v="-40"/>
    <n v="0"/>
  </r>
  <r>
    <x v="8"/>
    <x v="8"/>
    <x v="0"/>
    <n v="133"/>
    <n v="53"/>
    <n v="138"/>
    <n v="141"/>
    <n v="97"/>
    <n v="562"/>
    <x v="0"/>
    <n v="112.4"/>
    <n v="-62"/>
    <n v="0"/>
  </r>
  <r>
    <x v="9"/>
    <x v="9"/>
    <x v="2"/>
    <n v="87"/>
    <n v="60"/>
    <n v="75"/>
    <n v="83"/>
    <n v="78"/>
    <n v="383"/>
    <x v="0"/>
    <n v="76.599999999999994"/>
    <n v="117"/>
    <n v="0.23400000000000001"/>
  </r>
  <r>
    <x v="10"/>
    <x v="10"/>
    <x v="1"/>
    <n v="125"/>
    <n v="96"/>
    <n v="50"/>
    <n v="99"/>
    <n v="58"/>
    <n v="428"/>
    <x v="0"/>
    <n v="85.6"/>
    <n v="72"/>
    <n v="0.14399999999999999"/>
  </r>
  <r>
    <x v="11"/>
    <x v="11"/>
    <x v="1"/>
    <n v="60"/>
    <n v="40"/>
    <n v="107"/>
    <n v="48"/>
    <n v="125"/>
    <n v="380"/>
    <x v="0"/>
    <n v="76"/>
    <n v="120"/>
    <n v="0.24"/>
  </r>
  <r>
    <x v="12"/>
    <x v="12"/>
    <x v="1"/>
    <n v="112"/>
    <n v="71"/>
    <n v="135"/>
    <n v="85"/>
    <n v="123"/>
    <n v="526"/>
    <x v="0"/>
    <n v="105.2"/>
    <n v="-26"/>
    <n v="0"/>
  </r>
  <r>
    <x v="13"/>
    <x v="13"/>
    <x v="1"/>
    <n v="46"/>
    <n v="121"/>
    <n v="61"/>
    <n v="64"/>
    <n v="45"/>
    <n v="337"/>
    <x v="0"/>
    <n v="67.400000000000006"/>
    <n v="163"/>
    <n v="0.32600000000000001"/>
  </r>
  <r>
    <x v="14"/>
    <x v="14"/>
    <x v="2"/>
    <n v="55"/>
    <n v="95"/>
    <n v="63"/>
    <n v="124"/>
    <n v="137"/>
    <n v="474"/>
    <x v="0"/>
    <n v="94.8"/>
    <n v="26"/>
    <n v="5.1999999999999998E-2"/>
  </r>
  <r>
    <x v="15"/>
    <x v="15"/>
    <x v="2"/>
    <n v="92"/>
    <n v="148"/>
    <n v="121"/>
    <n v="83"/>
    <n v="147"/>
    <n v="591"/>
    <x v="0"/>
    <n v="118.2"/>
    <n v="-91"/>
    <n v="0"/>
  </r>
  <r>
    <x v="16"/>
    <x v="16"/>
    <x v="3"/>
    <n v="150"/>
    <n v="93"/>
    <n v="141"/>
    <n v="94"/>
    <n v="125"/>
    <n v="603"/>
    <x v="0"/>
    <n v="120.6"/>
    <n v="-103"/>
    <n v="0"/>
  </r>
  <r>
    <x v="17"/>
    <x v="17"/>
    <x v="4"/>
    <n v="49"/>
    <n v="127"/>
    <n v="103"/>
    <n v="47"/>
    <n v="70"/>
    <n v="396"/>
    <x v="0"/>
    <n v="79.2"/>
    <n v="104"/>
    <n v="0.20799999999999999"/>
  </r>
  <r>
    <x v="18"/>
    <x v="18"/>
    <x v="3"/>
    <n v="136"/>
    <n v="80"/>
    <n v="123"/>
    <n v="92"/>
    <n v="74"/>
    <n v="505"/>
    <x v="0"/>
    <n v="101"/>
    <n v="-5"/>
    <n v="0"/>
  </r>
  <r>
    <x v="19"/>
    <x v="19"/>
    <x v="0"/>
    <n v="77"/>
    <n v="58"/>
    <n v="79"/>
    <n v="58"/>
    <n v="101"/>
    <n v="373"/>
    <x v="0"/>
    <n v="74.599999999999994"/>
    <n v="127"/>
    <n v="0.254"/>
  </r>
  <r>
    <x v="20"/>
    <x v="20"/>
    <x v="2"/>
    <n v="142"/>
    <n v="62"/>
    <n v="47"/>
    <n v="93"/>
    <n v="137"/>
    <n v="481"/>
    <x v="0"/>
    <n v="96.2"/>
    <n v="19"/>
    <n v="3.7999999999999999E-2"/>
  </r>
  <r>
    <x v="21"/>
    <x v="21"/>
    <x v="4"/>
    <n v="65"/>
    <n v="45"/>
    <n v="44"/>
    <n v="72"/>
    <n v="89"/>
    <n v="315"/>
    <x v="0"/>
    <n v="63"/>
    <n v="185"/>
    <n v="0.37"/>
  </r>
  <r>
    <x v="22"/>
    <x v="22"/>
    <x v="0"/>
    <n v="50"/>
    <n v="119"/>
    <n v="83"/>
    <n v="124"/>
    <n v="73"/>
    <n v="449"/>
    <x v="0"/>
    <n v="89.8"/>
    <n v="51"/>
    <n v="0.10199999999999999"/>
  </r>
  <r>
    <x v="23"/>
    <x v="23"/>
    <x v="1"/>
    <n v="94"/>
    <n v="50"/>
    <n v="72"/>
    <n v="103"/>
    <n v="73"/>
    <n v="392"/>
    <x v="0"/>
    <n v="78.400000000000006"/>
    <n v="108"/>
    <n v="0.216"/>
  </r>
  <r>
    <x v="24"/>
    <x v="24"/>
    <x v="0"/>
    <n v="145"/>
    <n v="121"/>
    <n v="72"/>
    <n v="73"/>
    <n v="57"/>
    <n v="468"/>
    <x v="0"/>
    <n v="93.6"/>
    <n v="32"/>
    <n v="6.4000000000000001E-2"/>
  </r>
  <r>
    <x v="25"/>
    <x v="25"/>
    <x v="1"/>
    <n v="90"/>
    <n v="138"/>
    <n v="55"/>
    <n v="56"/>
    <n v="118"/>
    <n v="457"/>
    <x v="0"/>
    <n v="91.4"/>
    <n v="43"/>
    <n v="8.5999999999999993E-2"/>
  </r>
  <r>
    <x v="26"/>
    <x v="26"/>
    <x v="4"/>
    <n v="45"/>
    <n v="105"/>
    <n v="106"/>
    <n v="137"/>
    <n v="146"/>
    <n v="539"/>
    <x v="0"/>
    <n v="107.8"/>
    <n v="-39"/>
    <n v="0"/>
  </r>
  <r>
    <x v="27"/>
    <x v="27"/>
    <x v="1"/>
    <n v="46"/>
    <n v="145"/>
    <n v="148"/>
    <n v="109"/>
    <n v="67"/>
    <n v="515"/>
    <x v="0"/>
    <n v="103"/>
    <n v="-15"/>
    <n v="0"/>
  </r>
  <r>
    <x v="28"/>
    <x v="28"/>
    <x v="4"/>
    <n v="49"/>
    <n v="135"/>
    <n v="56"/>
    <n v="141"/>
    <n v="94"/>
    <n v="475"/>
    <x v="0"/>
    <n v="95"/>
    <n v="25"/>
    <n v="0.05"/>
  </r>
  <r>
    <x v="29"/>
    <x v="29"/>
    <x v="3"/>
    <n v="62"/>
    <n v="57"/>
    <n v="111"/>
    <n v="76"/>
    <n v="105"/>
    <n v="411"/>
    <x v="0"/>
    <n v="82.2"/>
    <n v="89"/>
    <n v="0.17799999999999999"/>
  </r>
  <r>
    <x v="30"/>
    <x v="30"/>
    <x v="1"/>
    <n v="104"/>
    <n v="118"/>
    <n v="147"/>
    <n v="65"/>
    <n v="125"/>
    <n v="559"/>
    <x v="0"/>
    <n v="111.8"/>
    <n v="-59"/>
    <n v="0"/>
  </r>
  <r>
    <x v="31"/>
    <x v="31"/>
    <x v="4"/>
    <n v="115"/>
    <n v="90"/>
    <n v="132"/>
    <n v="87"/>
    <n v="66"/>
    <n v="490"/>
    <x v="0"/>
    <n v="98"/>
    <n v="10"/>
    <n v="0.02"/>
  </r>
  <r>
    <x v="32"/>
    <x v="32"/>
    <x v="4"/>
    <n v="81"/>
    <n v="108"/>
    <n v="59"/>
    <n v="150"/>
    <n v="147"/>
    <n v="545"/>
    <x v="0"/>
    <n v="109"/>
    <n v="-45"/>
    <n v="0"/>
  </r>
  <r>
    <x v="33"/>
    <x v="33"/>
    <x v="4"/>
    <n v="66"/>
    <n v="49"/>
    <n v="104"/>
    <n v="91"/>
    <n v="144"/>
    <n v="454"/>
    <x v="0"/>
    <n v="90.8"/>
    <n v="46"/>
    <n v="9.1999999999999998E-2"/>
  </r>
  <r>
    <x v="34"/>
    <x v="34"/>
    <x v="4"/>
    <n v="120"/>
    <n v="145"/>
    <n v="100"/>
    <n v="122"/>
    <n v="83"/>
    <n v="570"/>
    <x v="0"/>
    <n v="114"/>
    <n v="-70"/>
    <n v="0"/>
  </r>
  <r>
    <x v="35"/>
    <x v="35"/>
    <x v="4"/>
    <n v="95"/>
    <n v="135"/>
    <n v="88"/>
    <n v="136"/>
    <n v="93"/>
    <n v="547"/>
    <x v="0"/>
    <n v="109.4"/>
    <n v="-47"/>
    <n v="0"/>
  </r>
  <r>
    <x v="36"/>
    <x v="36"/>
    <x v="1"/>
    <n v="46"/>
    <n v="102"/>
    <n v="143"/>
    <n v="63"/>
    <n v="97"/>
    <n v="451"/>
    <x v="0"/>
    <n v="90.2"/>
    <n v="49"/>
    <n v="9.8000000000000004E-2"/>
  </r>
  <r>
    <x v="37"/>
    <x v="37"/>
    <x v="3"/>
    <n v="61"/>
    <n v="77"/>
    <n v="79"/>
    <n v="133"/>
    <n v="120"/>
    <n v="470"/>
    <x v="0"/>
    <n v="94"/>
    <n v="30"/>
    <n v="0.06"/>
  </r>
  <r>
    <x v="38"/>
    <x v="38"/>
    <x v="0"/>
    <n v="62"/>
    <n v="66"/>
    <n v="53"/>
    <n v="70"/>
    <n v="119"/>
    <n v="370"/>
    <x v="0"/>
    <n v="74"/>
    <n v="130"/>
    <n v="0.26"/>
  </r>
  <r>
    <x v="39"/>
    <x v="39"/>
    <x v="2"/>
    <n v="72"/>
    <n v="71"/>
    <n v="130"/>
    <n v="137"/>
    <n v="89"/>
    <n v="499"/>
    <x v="0"/>
    <n v="99.8"/>
    <n v="1"/>
    <n v="2E-3"/>
  </r>
  <r>
    <x v="40"/>
    <x v="40"/>
    <x v="3"/>
    <n v="130"/>
    <n v="102"/>
    <n v="96"/>
    <n v="103"/>
    <n v="81"/>
    <n v="512"/>
    <x v="0"/>
    <n v="102.4"/>
    <n v="-12"/>
    <n v="0"/>
  </r>
  <r>
    <x v="41"/>
    <x v="41"/>
    <x v="4"/>
    <n v="143"/>
    <n v="56"/>
    <n v="138"/>
    <n v="130"/>
    <n v="101"/>
    <n v="568"/>
    <x v="0"/>
    <n v="113.6"/>
    <n v="-68"/>
    <n v="0"/>
  </r>
  <r>
    <x v="42"/>
    <x v="42"/>
    <x v="4"/>
    <n v="88"/>
    <n v="104"/>
    <n v="93"/>
    <n v="60"/>
    <n v="63"/>
    <n v="408"/>
    <x v="0"/>
    <n v="81.599999999999994"/>
    <n v="92"/>
    <n v="0.184"/>
  </r>
  <r>
    <x v="43"/>
    <x v="43"/>
    <x v="3"/>
    <n v="61"/>
    <n v="120"/>
    <n v="129"/>
    <n v="119"/>
    <n v="51"/>
    <n v="480"/>
    <x v="0"/>
    <n v="96"/>
    <n v="20"/>
    <n v="0.04"/>
  </r>
  <r>
    <x v="44"/>
    <x v="44"/>
    <x v="1"/>
    <n v="41"/>
    <n v="47"/>
    <n v="52"/>
    <n v="85"/>
    <n v="58"/>
    <n v="283"/>
    <x v="0"/>
    <n v="56.6"/>
    <n v="217"/>
    <n v="0.434"/>
  </r>
  <r>
    <x v="45"/>
    <x v="45"/>
    <x v="0"/>
    <n v="56"/>
    <n v="108"/>
    <n v="124"/>
    <n v="54"/>
    <n v="143"/>
    <n v="485"/>
    <x v="0"/>
    <n v="97"/>
    <n v="15"/>
    <n v="0.03"/>
  </r>
  <r>
    <x v="46"/>
    <x v="46"/>
    <x v="0"/>
    <n v="85"/>
    <n v="79"/>
    <n v="61"/>
    <n v="43"/>
    <n v="48"/>
    <n v="316"/>
    <x v="0"/>
    <n v="63.2"/>
    <n v="184"/>
    <n v="0.36799999999999999"/>
  </r>
  <r>
    <x v="47"/>
    <x v="47"/>
    <x v="2"/>
    <n v="118"/>
    <n v="98"/>
    <n v="75"/>
    <n v="57"/>
    <n v="40"/>
    <n v="388"/>
    <x v="0"/>
    <n v="77.599999999999994"/>
    <n v="112"/>
    <n v="0.224"/>
  </r>
  <r>
    <x v="48"/>
    <x v="48"/>
    <x v="2"/>
    <n v="132"/>
    <n v="140"/>
    <n v="102"/>
    <n v="108"/>
    <n v="141"/>
    <n v="623"/>
    <x v="0"/>
    <n v="124.6"/>
    <n v="-123"/>
    <n v="0"/>
  </r>
  <r>
    <x v="49"/>
    <x v="49"/>
    <x v="3"/>
    <n v="53"/>
    <n v="71"/>
    <n v="127"/>
    <n v="137"/>
    <n v="89"/>
    <n v="477"/>
    <x v="0"/>
    <n v="95.4"/>
    <n v="23"/>
    <n v="4.5999999999999999E-2"/>
  </r>
  <r>
    <x v="50"/>
    <x v="50"/>
    <x v="2"/>
    <n v="60"/>
    <n v="94"/>
    <n v="93"/>
    <n v="125"/>
    <n v="140"/>
    <n v="512"/>
    <x v="0"/>
    <n v="102.4"/>
    <n v="-12"/>
    <n v="0"/>
  </r>
  <r>
    <x v="51"/>
    <x v="51"/>
    <x v="2"/>
    <n v="129"/>
    <n v="46"/>
    <n v="144"/>
    <n v="141"/>
    <n v="55"/>
    <n v="515"/>
    <x v="0"/>
    <n v="103"/>
    <n v="-15"/>
    <n v="0"/>
  </r>
  <r>
    <x v="52"/>
    <x v="52"/>
    <x v="3"/>
    <n v="46"/>
    <n v="51"/>
    <n v="97"/>
    <n v="85"/>
    <n v="79"/>
    <n v="358"/>
    <x v="0"/>
    <n v="71.599999999999994"/>
    <n v="142"/>
    <n v="0.28399999999999997"/>
  </r>
  <r>
    <x v="53"/>
    <x v="53"/>
    <x v="1"/>
    <n v="80"/>
    <n v="99"/>
    <n v="87"/>
    <n v="67"/>
    <n v="112"/>
    <n v="445"/>
    <x v="0"/>
    <n v="89"/>
    <n v="55"/>
    <n v="0.11"/>
  </r>
  <r>
    <x v="54"/>
    <x v="54"/>
    <x v="3"/>
    <n v="104"/>
    <n v="48"/>
    <n v="68"/>
    <n v="94"/>
    <n v="138"/>
    <n v="452"/>
    <x v="0"/>
    <n v="90.4"/>
    <n v="48"/>
    <n v="9.6000000000000002E-2"/>
  </r>
  <r>
    <x v="55"/>
    <x v="55"/>
    <x v="4"/>
    <n v="71"/>
    <n v="106"/>
    <n v="127"/>
    <n v="106"/>
    <n v="128"/>
    <n v="538"/>
    <x v="0"/>
    <n v="107.6"/>
    <n v="-38"/>
    <n v="0"/>
  </r>
  <r>
    <x v="56"/>
    <x v="56"/>
    <x v="4"/>
    <n v="112"/>
    <n v="140"/>
    <n v="69"/>
    <n v="75"/>
    <n v="96"/>
    <n v="492"/>
    <x v="0"/>
    <n v="98.4"/>
    <n v="8"/>
    <n v="1.6E-2"/>
  </r>
  <r>
    <x v="57"/>
    <x v="57"/>
    <x v="4"/>
    <n v="77"/>
    <n v="79"/>
    <n v="116"/>
    <n v="121"/>
    <n v="61"/>
    <n v="454"/>
    <x v="0"/>
    <n v="90.8"/>
    <n v="46"/>
    <n v="9.1999999999999998E-2"/>
  </r>
  <r>
    <x v="58"/>
    <x v="58"/>
    <x v="2"/>
    <n v="101"/>
    <n v="117"/>
    <n v="59"/>
    <n v="142"/>
    <n v="90"/>
    <n v="509"/>
    <x v="0"/>
    <n v="101.8"/>
    <n v="-9"/>
    <n v="0"/>
  </r>
  <r>
    <x v="59"/>
    <x v="59"/>
    <x v="1"/>
    <n v="62"/>
    <n v="136"/>
    <n v="128"/>
    <n v="69"/>
    <n v="140"/>
    <n v="535"/>
    <x v="0"/>
    <n v="107"/>
    <n v="-35"/>
    <n v="0"/>
  </r>
  <r>
    <x v="60"/>
    <x v="60"/>
    <x v="1"/>
    <n v="74"/>
    <n v="134"/>
    <n v="54"/>
    <n v="61"/>
    <n v="50"/>
    <n v="373"/>
    <x v="0"/>
    <n v="74.599999999999994"/>
    <n v="127"/>
    <n v="0.254"/>
  </r>
  <r>
    <x v="61"/>
    <x v="61"/>
    <x v="0"/>
    <n v="144"/>
    <n v="124"/>
    <n v="150"/>
    <n v="137"/>
    <n v="57"/>
    <n v="612"/>
    <x v="0"/>
    <n v="122.4"/>
    <n v="-112"/>
    <n v="0"/>
  </r>
  <r>
    <x v="62"/>
    <x v="62"/>
    <x v="3"/>
    <n v="46"/>
    <n v="47"/>
    <n v="119"/>
    <n v="48"/>
    <n v="69"/>
    <n v="329"/>
    <x v="0"/>
    <n v="65.8"/>
    <n v="171"/>
    <n v="0.34200000000000003"/>
  </r>
  <r>
    <x v="63"/>
    <x v="63"/>
    <x v="1"/>
    <n v="105"/>
    <n v="98"/>
    <n v="145"/>
    <n v="111"/>
    <n v="64"/>
    <n v="523"/>
    <x v="0"/>
    <n v="104.6"/>
    <n v="-23"/>
    <n v="0"/>
  </r>
  <r>
    <x v="64"/>
    <x v="64"/>
    <x v="2"/>
    <n v="80"/>
    <n v="61"/>
    <n v="59"/>
    <n v="122"/>
    <n v="140"/>
    <n v="462"/>
    <x v="0"/>
    <n v="92.4"/>
    <n v="38"/>
    <n v="7.5999999999999998E-2"/>
  </r>
  <r>
    <x v="65"/>
    <x v="65"/>
    <x v="2"/>
    <n v="124"/>
    <n v="47"/>
    <n v="143"/>
    <n v="138"/>
    <n v="53"/>
    <n v="505"/>
    <x v="0"/>
    <n v="101"/>
    <n v="-5"/>
    <n v="0"/>
  </r>
  <r>
    <x v="66"/>
    <x v="66"/>
    <x v="0"/>
    <n v="107"/>
    <n v="45"/>
    <n v="105"/>
    <n v="101"/>
    <n v="78"/>
    <n v="436"/>
    <x v="0"/>
    <n v="87.2"/>
    <n v="64"/>
    <n v="0.128"/>
  </r>
  <r>
    <x v="67"/>
    <x v="67"/>
    <x v="0"/>
    <n v="86"/>
    <n v="107"/>
    <n v="86"/>
    <n v="141"/>
    <n v="128"/>
    <n v="548"/>
    <x v="0"/>
    <n v="109.6"/>
    <n v="-48"/>
    <n v="0"/>
  </r>
  <r>
    <x v="68"/>
    <x v="68"/>
    <x v="4"/>
    <n v="65"/>
    <n v="107"/>
    <n v="132"/>
    <n v="41"/>
    <n v="40"/>
    <n v="385"/>
    <x v="0"/>
    <n v="77"/>
    <n v="115"/>
    <n v="0.23"/>
  </r>
  <r>
    <x v="69"/>
    <x v="69"/>
    <x v="0"/>
    <n v="62"/>
    <n v="78"/>
    <n v="59"/>
    <n v="80"/>
    <n v="110"/>
    <n v="389"/>
    <x v="0"/>
    <n v="77.8"/>
    <n v="111"/>
    <n v="0.222"/>
  </r>
  <r>
    <x v="70"/>
    <x v="70"/>
    <x v="0"/>
    <n v="66"/>
    <n v="72"/>
    <n v="91"/>
    <n v="48"/>
    <n v="54"/>
    <n v="331"/>
    <x v="0"/>
    <n v="66.2"/>
    <n v="169"/>
    <n v="0.33800000000000002"/>
  </r>
  <r>
    <x v="71"/>
    <x v="71"/>
    <x v="3"/>
    <n v="83"/>
    <n v="144"/>
    <n v="133"/>
    <n v="125"/>
    <n v="124"/>
    <n v="609"/>
    <x v="0"/>
    <n v="121.8"/>
    <n v="-109"/>
    <n v="0"/>
  </r>
  <r>
    <x v="72"/>
    <x v="72"/>
    <x v="3"/>
    <n v="53"/>
    <n v="142"/>
    <n v="66"/>
    <n v="67"/>
    <n v="63"/>
    <n v="391"/>
    <x v="0"/>
    <n v="78.2"/>
    <n v="109"/>
    <n v="0.218"/>
  </r>
  <r>
    <x v="73"/>
    <x v="73"/>
    <x v="3"/>
    <n v="86"/>
    <n v="94"/>
    <n v="66"/>
    <n v="142"/>
    <n v="54"/>
    <n v="442"/>
    <x v="0"/>
    <n v="88.4"/>
    <n v="58"/>
    <n v="0.11600000000000001"/>
  </r>
  <r>
    <x v="74"/>
    <x v="74"/>
    <x v="0"/>
    <n v="64"/>
    <n v="91"/>
    <n v="103"/>
    <n v="139"/>
    <n v="148"/>
    <n v="545"/>
    <x v="0"/>
    <n v="109"/>
    <n v="-45"/>
    <n v="0"/>
  </r>
  <r>
    <x v="75"/>
    <x v="75"/>
    <x v="1"/>
    <n v="96"/>
    <n v="103"/>
    <n v="63"/>
    <n v="150"/>
    <n v="106"/>
    <n v="518"/>
    <x v="0"/>
    <n v="103.6"/>
    <n v="-18"/>
    <n v="0"/>
  </r>
  <r>
    <x v="76"/>
    <x v="76"/>
    <x v="1"/>
    <n v="145"/>
    <n v="105"/>
    <n v="121"/>
    <n v="80"/>
    <n v="66"/>
    <n v="517"/>
    <x v="0"/>
    <n v="103.4"/>
    <n v="-17"/>
    <n v="0"/>
  </r>
  <r>
    <x v="77"/>
    <x v="77"/>
    <x v="4"/>
    <n v="64"/>
    <n v="73"/>
    <n v="143"/>
    <n v="142"/>
    <n v="148"/>
    <n v="570"/>
    <x v="0"/>
    <n v="114"/>
    <n v="-70"/>
    <n v="0"/>
  </r>
  <r>
    <x v="78"/>
    <x v="78"/>
    <x v="0"/>
    <n v="84"/>
    <n v="107"/>
    <n v="95"/>
    <n v="150"/>
    <n v="56"/>
    <n v="492"/>
    <x v="0"/>
    <n v="98.4"/>
    <n v="8"/>
    <n v="1.6E-2"/>
  </r>
  <r>
    <x v="79"/>
    <x v="79"/>
    <x v="0"/>
    <n v="86"/>
    <n v="40"/>
    <n v="89"/>
    <n v="72"/>
    <n v="56"/>
    <n v="343"/>
    <x v="0"/>
    <n v="68.599999999999994"/>
    <n v="157"/>
    <n v="0.314"/>
  </r>
  <r>
    <x v="80"/>
    <x v="80"/>
    <x v="3"/>
    <n v="79"/>
    <n v="131"/>
    <n v="146"/>
    <n v="111"/>
    <n v="66"/>
    <n v="533"/>
    <x v="0"/>
    <n v="106.6"/>
    <n v="-33"/>
    <n v="0"/>
  </r>
  <r>
    <x v="81"/>
    <x v="81"/>
    <x v="4"/>
    <n v="100"/>
    <n v="72"/>
    <n v="110"/>
    <n v="93"/>
    <n v="93"/>
    <n v="468"/>
    <x v="0"/>
    <n v="93.6"/>
    <n v="32"/>
    <n v="6.4000000000000001E-2"/>
  </r>
  <r>
    <x v="82"/>
    <x v="82"/>
    <x v="2"/>
    <n v="91"/>
    <n v="77"/>
    <n v="63"/>
    <n v="137"/>
    <n v="115"/>
    <n v="483"/>
    <x v="0"/>
    <n v="96.6"/>
    <n v="17"/>
    <n v="3.4000000000000002E-2"/>
  </r>
  <r>
    <x v="83"/>
    <x v="83"/>
    <x v="3"/>
    <n v="57"/>
    <n v="146"/>
    <n v="55"/>
    <n v="145"/>
    <n v="128"/>
    <n v="531"/>
    <x v="0"/>
    <n v="106.2"/>
    <n v="-31"/>
    <n v="0"/>
  </r>
  <r>
    <x v="84"/>
    <x v="84"/>
    <x v="4"/>
    <n v="83"/>
    <n v="121"/>
    <n v="95"/>
    <n v="94"/>
    <n v="133"/>
    <n v="526"/>
    <x v="0"/>
    <n v="105.2"/>
    <n v="-26"/>
    <n v="0"/>
  </r>
  <r>
    <x v="85"/>
    <x v="85"/>
    <x v="3"/>
    <n v="45"/>
    <n v="128"/>
    <n v="93"/>
    <n v="138"/>
    <n v="110"/>
    <n v="514"/>
    <x v="0"/>
    <n v="102.8"/>
    <n v="-14"/>
    <n v="0"/>
  </r>
  <r>
    <x v="86"/>
    <x v="86"/>
    <x v="3"/>
    <n v="83"/>
    <n v="72"/>
    <n v="95"/>
    <n v="131"/>
    <n v="91"/>
    <n v="472"/>
    <x v="0"/>
    <n v="94.4"/>
    <n v="28"/>
    <n v="5.6000000000000001E-2"/>
  </r>
  <r>
    <x v="87"/>
    <x v="87"/>
    <x v="2"/>
    <n v="91"/>
    <n v="141"/>
    <n v="42"/>
    <n v="52"/>
    <n v="52"/>
    <n v="378"/>
    <x v="0"/>
    <n v="75.599999999999994"/>
    <n v="122"/>
    <n v="0.24399999999999999"/>
  </r>
  <r>
    <x v="88"/>
    <x v="88"/>
    <x v="4"/>
    <n v="107"/>
    <n v="54"/>
    <n v="114"/>
    <n v="66"/>
    <n v="150"/>
    <n v="491"/>
    <x v="0"/>
    <n v="98.2"/>
    <n v="9"/>
    <n v="1.7999999999999999E-2"/>
  </r>
  <r>
    <x v="89"/>
    <x v="89"/>
    <x v="4"/>
    <n v="71"/>
    <n v="82"/>
    <n v="46"/>
    <n v="128"/>
    <n v="135"/>
    <n v="462"/>
    <x v="0"/>
    <n v="92.4"/>
    <n v="38"/>
    <n v="7.5999999999999998E-2"/>
  </r>
  <r>
    <x v="90"/>
    <x v="90"/>
    <x v="1"/>
    <n v="105"/>
    <n v="82"/>
    <n v="104"/>
    <n v="94"/>
    <n v="99"/>
    <n v="484"/>
    <x v="0"/>
    <n v="96.8"/>
    <n v="16"/>
    <n v="3.2000000000000001E-2"/>
  </r>
  <r>
    <x v="91"/>
    <x v="91"/>
    <x v="3"/>
    <n v="105"/>
    <n v="82"/>
    <n v="110"/>
    <n v="105"/>
    <n v="139"/>
    <n v="541"/>
    <x v="0"/>
    <n v="108.2"/>
    <n v="-41"/>
    <n v="0"/>
  </r>
  <r>
    <x v="92"/>
    <x v="92"/>
    <x v="0"/>
    <n v="52"/>
    <n v="43"/>
    <n v="86"/>
    <n v="51"/>
    <n v="89"/>
    <n v="321"/>
    <x v="0"/>
    <n v="64.2"/>
    <n v="179"/>
    <n v="0.35799999999999998"/>
  </r>
  <r>
    <x v="93"/>
    <x v="93"/>
    <x v="2"/>
    <n v="130"/>
    <n v="137"/>
    <n v="52"/>
    <n v="126"/>
    <n v="64"/>
    <n v="509"/>
    <x v="0"/>
    <n v="101.8"/>
    <n v="-9"/>
    <n v="0"/>
  </r>
  <r>
    <x v="94"/>
    <x v="94"/>
    <x v="2"/>
    <n v="108"/>
    <n v="112"/>
    <n v="56"/>
    <n v="81"/>
    <n v="119"/>
    <n v="476"/>
    <x v="0"/>
    <n v="95.2"/>
    <n v="24"/>
    <n v="4.8000000000000001E-2"/>
  </r>
  <r>
    <x v="95"/>
    <x v="95"/>
    <x v="3"/>
    <n v="133"/>
    <n v="129"/>
    <n v="149"/>
    <n v="126"/>
    <n v="66"/>
    <n v="603"/>
    <x v="0"/>
    <n v="120.6"/>
    <n v="-103"/>
    <n v="0"/>
  </r>
  <r>
    <x v="96"/>
    <x v="96"/>
    <x v="0"/>
    <n v="117"/>
    <n v="137"/>
    <n v="124"/>
    <n v="70"/>
    <n v="43"/>
    <n v="491"/>
    <x v="0"/>
    <n v="98.2"/>
    <n v="9"/>
    <n v="1.7999999999999999E-2"/>
  </r>
  <r>
    <x v="97"/>
    <x v="97"/>
    <x v="2"/>
    <n v="108"/>
    <n v="70"/>
    <n v="124"/>
    <n v="145"/>
    <n v="48"/>
    <n v="495"/>
    <x v="0"/>
    <n v="99"/>
    <n v="5"/>
    <n v="0.01"/>
  </r>
  <r>
    <x v="98"/>
    <x v="98"/>
    <x v="0"/>
    <n v="57"/>
    <n v="123"/>
    <n v="60"/>
    <n v="65"/>
    <n v="76"/>
    <n v="381"/>
    <x v="0"/>
    <n v="76.2"/>
    <n v="119"/>
    <n v="0.23799999999999999"/>
  </r>
  <r>
    <x v="99"/>
    <x v="99"/>
    <x v="3"/>
    <n v="61"/>
    <n v="115"/>
    <n v="63"/>
    <n v="91"/>
    <n v="150"/>
    <n v="480"/>
    <x v="0"/>
    <n v="96"/>
    <n v="20"/>
    <n v="0.04"/>
  </r>
  <r>
    <x v="100"/>
    <x v="100"/>
    <x v="4"/>
    <n v="49"/>
    <n v="59"/>
    <n v="88"/>
    <n v="139"/>
    <n v="44"/>
    <n v="379"/>
    <x v="0"/>
    <n v="75.8"/>
    <n v="121"/>
    <n v="0.24199999999999999"/>
  </r>
  <r>
    <x v="101"/>
    <x v="101"/>
    <x v="4"/>
    <n v="140"/>
    <n v="57"/>
    <n v="118"/>
    <n v="120"/>
    <n v="60"/>
    <n v="495"/>
    <x v="0"/>
    <n v="99"/>
    <n v="5"/>
    <n v="0.01"/>
  </r>
  <r>
    <x v="102"/>
    <x v="102"/>
    <x v="0"/>
    <n v="80"/>
    <n v="135"/>
    <n v="124"/>
    <n v="94"/>
    <n v="77"/>
    <n v="510"/>
    <x v="0"/>
    <n v="102"/>
    <n v="-10"/>
    <n v="0"/>
  </r>
  <r>
    <x v="103"/>
    <x v="103"/>
    <x v="0"/>
    <n v="140"/>
    <n v="67"/>
    <n v="112"/>
    <n v="51"/>
    <n v="123"/>
    <n v="493"/>
    <x v="0"/>
    <n v="98.6"/>
    <n v="7"/>
    <n v="1.4E-2"/>
  </r>
  <r>
    <x v="104"/>
    <x v="104"/>
    <x v="3"/>
    <n v="42"/>
    <n v="52"/>
    <n v="114"/>
    <n v="130"/>
    <n v="78"/>
    <n v="416"/>
    <x v="0"/>
    <n v="83.2"/>
    <n v="84"/>
    <n v="0.16800000000000001"/>
  </r>
  <r>
    <x v="105"/>
    <x v="105"/>
    <x v="2"/>
    <n v="139"/>
    <n v="113"/>
    <n v="87"/>
    <n v="106"/>
    <n v="143"/>
    <n v="588"/>
    <x v="0"/>
    <n v="117.6"/>
    <n v="-88"/>
    <n v="0"/>
  </r>
  <r>
    <x v="106"/>
    <x v="106"/>
    <x v="4"/>
    <n v="123"/>
    <n v="83"/>
    <n v="41"/>
    <n v="120"/>
    <n v="96"/>
    <n v="463"/>
    <x v="0"/>
    <n v="92.6"/>
    <n v="37"/>
    <n v="7.3999999999999996E-2"/>
  </r>
  <r>
    <x v="107"/>
    <x v="107"/>
    <x v="2"/>
    <n v="134"/>
    <n v="44"/>
    <n v="60"/>
    <n v="68"/>
    <n v="116"/>
    <n v="422"/>
    <x v="0"/>
    <n v="84.4"/>
    <n v="78"/>
    <n v="0.156"/>
  </r>
  <r>
    <x v="108"/>
    <x v="108"/>
    <x v="0"/>
    <n v="89"/>
    <n v="132"/>
    <n v="53"/>
    <n v="106"/>
    <n v="121"/>
    <n v="501"/>
    <x v="0"/>
    <n v="100.2"/>
    <n v="-1"/>
    <n v="0"/>
  </r>
  <r>
    <x v="109"/>
    <x v="109"/>
    <x v="3"/>
    <n v="107"/>
    <n v="54"/>
    <n v="59"/>
    <n v="101"/>
    <n v="55"/>
    <n v="376"/>
    <x v="0"/>
    <n v="75.2"/>
    <n v="124"/>
    <n v="0.248"/>
  </r>
  <r>
    <x v="110"/>
    <x v="110"/>
    <x v="2"/>
    <n v="43"/>
    <n v="45"/>
    <n v="79"/>
    <n v="120"/>
    <n v="150"/>
    <n v="437"/>
    <x v="0"/>
    <n v="87.4"/>
    <n v="63"/>
    <n v="0.126"/>
  </r>
  <r>
    <x v="111"/>
    <x v="111"/>
    <x v="1"/>
    <n v="93"/>
    <n v="136"/>
    <n v="131"/>
    <n v="100"/>
    <n v="88"/>
    <n v="548"/>
    <x v="0"/>
    <n v="109.6"/>
    <n v="-48"/>
    <n v="0"/>
  </r>
  <r>
    <x v="112"/>
    <x v="112"/>
    <x v="4"/>
    <n v="139"/>
    <n v="56"/>
    <n v="76"/>
    <n v="108"/>
    <n v="108"/>
    <n v="487"/>
    <x v="0"/>
    <n v="97.4"/>
    <n v="13"/>
    <n v="2.5999999999999999E-2"/>
  </r>
  <r>
    <x v="113"/>
    <x v="113"/>
    <x v="1"/>
    <n v="91"/>
    <n v="57"/>
    <n v="113"/>
    <n v="104"/>
    <n v="80"/>
    <n v="445"/>
    <x v="0"/>
    <n v="89"/>
    <n v="55"/>
    <n v="0.11"/>
  </r>
  <r>
    <x v="114"/>
    <x v="114"/>
    <x v="2"/>
    <n v="78"/>
    <n v="68"/>
    <n v="49"/>
    <n v="106"/>
    <n v="68"/>
    <n v="369"/>
    <x v="0"/>
    <n v="73.8"/>
    <n v="131"/>
    <n v="0.26200000000000001"/>
  </r>
  <r>
    <x v="115"/>
    <x v="115"/>
    <x v="1"/>
    <n v="56"/>
    <n v="102"/>
    <n v="109"/>
    <n v="104"/>
    <n v="44"/>
    <n v="415"/>
    <x v="0"/>
    <n v="83"/>
    <n v="85"/>
    <n v="0.17"/>
  </r>
  <r>
    <x v="116"/>
    <x v="116"/>
    <x v="3"/>
    <n v="136"/>
    <n v="148"/>
    <n v="146"/>
    <n v="60"/>
    <n v="137"/>
    <n v="627"/>
    <x v="0"/>
    <n v="125.4"/>
    <n v="-127"/>
    <n v="0"/>
  </r>
  <r>
    <x v="117"/>
    <x v="117"/>
    <x v="2"/>
    <n v="42"/>
    <n v="118"/>
    <n v="52"/>
    <n v="114"/>
    <n v="41"/>
    <n v="367"/>
    <x v="0"/>
    <n v="73.400000000000006"/>
    <n v="133"/>
    <n v="0.26600000000000001"/>
  </r>
  <r>
    <x v="118"/>
    <x v="118"/>
    <x v="2"/>
    <n v="140"/>
    <n v="79"/>
    <n v="147"/>
    <n v="129"/>
    <n v="143"/>
    <n v="638"/>
    <x v="0"/>
    <n v="127.6"/>
    <n v="-138"/>
    <n v="0"/>
  </r>
  <r>
    <x v="119"/>
    <x v="119"/>
    <x v="3"/>
    <n v="112"/>
    <n v="148"/>
    <n v="55"/>
    <n v="63"/>
    <n v="64"/>
    <n v="442"/>
    <x v="0"/>
    <n v="88.4"/>
    <n v="58"/>
    <n v="0.11600000000000001"/>
  </r>
  <r>
    <x v="120"/>
    <x v="120"/>
    <x v="4"/>
    <n v="57"/>
    <n v="100"/>
    <n v="50"/>
    <n v="78"/>
    <n v="50"/>
    <n v="335"/>
    <x v="0"/>
    <n v="67"/>
    <n v="165"/>
    <n v="0.33"/>
  </r>
  <r>
    <x v="121"/>
    <x v="121"/>
    <x v="0"/>
    <n v="150"/>
    <n v="110"/>
    <n v="121"/>
    <n v="100"/>
    <n v="120"/>
    <n v="601"/>
    <x v="0"/>
    <n v="120.2"/>
    <n v="-101"/>
    <n v="0"/>
  </r>
  <r>
    <x v="122"/>
    <x v="122"/>
    <x v="3"/>
    <n v="89"/>
    <n v="134"/>
    <n v="138"/>
    <n v="72"/>
    <n v="80"/>
    <n v="513"/>
    <x v="0"/>
    <n v="102.6"/>
    <n v="-13"/>
    <n v="0"/>
  </r>
  <r>
    <x v="123"/>
    <x v="123"/>
    <x v="4"/>
    <n v="65"/>
    <n v="90"/>
    <n v="100"/>
    <n v="139"/>
    <n v="132"/>
    <n v="526"/>
    <x v="0"/>
    <n v="105.2"/>
    <n v="-26"/>
    <n v="0"/>
  </r>
  <r>
    <x v="124"/>
    <x v="124"/>
    <x v="1"/>
    <n v="61"/>
    <n v="103"/>
    <n v="67"/>
    <n v="71"/>
    <n v="147"/>
    <n v="449"/>
    <x v="0"/>
    <n v="89.8"/>
    <n v="51"/>
    <n v="0.10199999999999999"/>
  </r>
  <r>
    <x v="125"/>
    <x v="125"/>
    <x v="0"/>
    <n v="63"/>
    <n v="98"/>
    <n v="57"/>
    <n v="49"/>
    <n v="134"/>
    <n v="401"/>
    <x v="0"/>
    <n v="80.2"/>
    <n v="99"/>
    <n v="0.19800000000000001"/>
  </r>
  <r>
    <x v="126"/>
    <x v="126"/>
    <x v="1"/>
    <n v="42"/>
    <n v="110"/>
    <n v="81"/>
    <n v="45"/>
    <n v="115"/>
    <n v="393"/>
    <x v="0"/>
    <n v="78.599999999999994"/>
    <n v="107"/>
    <n v="0.214"/>
  </r>
  <r>
    <x v="127"/>
    <x v="127"/>
    <x v="3"/>
    <n v="142"/>
    <n v="139"/>
    <n v="147"/>
    <n v="67"/>
    <n v="91"/>
    <n v="586"/>
    <x v="0"/>
    <n v="117.2"/>
    <n v="-86"/>
    <n v="0"/>
  </r>
  <r>
    <x v="128"/>
    <x v="128"/>
    <x v="2"/>
    <n v="61"/>
    <n v="140"/>
    <n v="62"/>
    <n v="88"/>
    <n v="143"/>
    <n v="494"/>
    <x v="0"/>
    <n v="98.8"/>
    <n v="6"/>
    <n v="1.2E-2"/>
  </r>
  <r>
    <x v="129"/>
    <x v="129"/>
    <x v="1"/>
    <n v="79"/>
    <n v="76"/>
    <n v="63"/>
    <n v="123"/>
    <n v="57"/>
    <n v="398"/>
    <x v="0"/>
    <n v="79.599999999999994"/>
    <n v="102"/>
    <n v="0.20399999999999999"/>
  </r>
  <r>
    <x v="130"/>
    <x v="130"/>
    <x v="0"/>
    <n v="142"/>
    <n v="146"/>
    <n v="105"/>
    <n v="71"/>
    <n v="149"/>
    <n v="613"/>
    <x v="0"/>
    <n v="122.6"/>
    <n v="-113"/>
    <n v="0"/>
  </r>
  <r>
    <x v="131"/>
    <x v="131"/>
    <x v="1"/>
    <n v="128"/>
    <n v="43"/>
    <n v="41"/>
    <n v="108"/>
    <n v="120"/>
    <n v="440"/>
    <x v="0"/>
    <n v="88"/>
    <n v="60"/>
    <n v="0.12"/>
  </r>
  <r>
    <x v="132"/>
    <x v="132"/>
    <x v="3"/>
    <n v="64"/>
    <n v="120"/>
    <n v="101"/>
    <n v="148"/>
    <n v="46"/>
    <n v="479"/>
    <x v="0"/>
    <n v="95.8"/>
    <n v="21"/>
    <n v="4.2000000000000003E-2"/>
  </r>
  <r>
    <x v="133"/>
    <x v="133"/>
    <x v="2"/>
    <n v="64"/>
    <n v="132"/>
    <n v="135"/>
    <n v="89"/>
    <n v="134"/>
    <n v="554"/>
    <x v="0"/>
    <n v="110.8"/>
    <n v="-54"/>
    <n v="0"/>
  </r>
  <r>
    <x v="134"/>
    <x v="134"/>
    <x v="3"/>
    <n v="55"/>
    <n v="131"/>
    <n v="87"/>
    <n v="125"/>
    <n v="105"/>
    <n v="503"/>
    <x v="0"/>
    <n v="100.6"/>
    <n v="-3"/>
    <n v="0"/>
  </r>
  <r>
    <x v="135"/>
    <x v="135"/>
    <x v="4"/>
    <n v="122"/>
    <n v="56"/>
    <n v="104"/>
    <n v="75"/>
    <n v="59"/>
    <n v="416"/>
    <x v="0"/>
    <n v="83.2"/>
    <n v="84"/>
    <n v="0.16800000000000001"/>
  </r>
  <r>
    <x v="136"/>
    <x v="136"/>
    <x v="4"/>
    <n v="136"/>
    <n v="123"/>
    <n v="64"/>
    <n v="118"/>
    <n v="98"/>
    <n v="539"/>
    <x v="0"/>
    <n v="107.8"/>
    <n v="-39"/>
    <n v="0"/>
  </r>
  <r>
    <x v="137"/>
    <x v="137"/>
    <x v="4"/>
    <n v="55"/>
    <n v="94"/>
    <n v="45"/>
    <n v="131"/>
    <n v="144"/>
    <n v="469"/>
    <x v="0"/>
    <n v="93.8"/>
    <n v="31"/>
    <n v="6.2E-2"/>
  </r>
  <r>
    <x v="138"/>
    <x v="138"/>
    <x v="1"/>
    <n v="141"/>
    <n v="118"/>
    <n v="113"/>
    <n v="131"/>
    <n v="42"/>
    <n v="545"/>
    <x v="0"/>
    <n v="109"/>
    <n v="-45"/>
    <n v="0"/>
  </r>
  <r>
    <x v="139"/>
    <x v="139"/>
    <x v="3"/>
    <n v="143"/>
    <n v="93"/>
    <n v="150"/>
    <n v="131"/>
    <n v="134"/>
    <n v="651"/>
    <x v="0"/>
    <n v="130.19999999999999"/>
    <n v="-151"/>
    <n v="0"/>
  </r>
  <r>
    <x v="140"/>
    <x v="140"/>
    <x v="4"/>
    <n v="138"/>
    <n v="139"/>
    <n v="110"/>
    <n v="101"/>
    <n v="126"/>
    <n v="614"/>
    <x v="0"/>
    <n v="122.8"/>
    <n v="-114"/>
    <n v="0"/>
  </r>
  <r>
    <x v="141"/>
    <x v="141"/>
    <x v="3"/>
    <n v="77"/>
    <n v="88"/>
    <n v="102"/>
    <n v="109"/>
    <n v="68"/>
    <n v="444"/>
    <x v="0"/>
    <n v="88.8"/>
    <n v="56"/>
    <n v="0.112"/>
  </r>
  <r>
    <x v="142"/>
    <x v="142"/>
    <x v="4"/>
    <n v="96"/>
    <n v="127"/>
    <n v="108"/>
    <n v="67"/>
    <n v="126"/>
    <n v="524"/>
    <x v="0"/>
    <n v="104.8"/>
    <n v="-24"/>
    <n v="0"/>
  </r>
  <r>
    <x v="143"/>
    <x v="143"/>
    <x v="3"/>
    <n v="94"/>
    <n v="42"/>
    <n v="107"/>
    <n v="105"/>
    <n v="123"/>
    <n v="471"/>
    <x v="0"/>
    <n v="94.2"/>
    <n v="29"/>
    <n v="5.8000000000000003E-2"/>
  </r>
  <r>
    <x v="144"/>
    <x v="144"/>
    <x v="4"/>
    <n v="112"/>
    <n v="82"/>
    <n v="150"/>
    <n v="145"/>
    <n v="99"/>
    <n v="588"/>
    <x v="0"/>
    <n v="117.6"/>
    <n v="-88"/>
    <n v="0"/>
  </r>
  <r>
    <x v="145"/>
    <x v="145"/>
    <x v="3"/>
    <n v="119"/>
    <n v="91"/>
    <n v="106"/>
    <n v="137"/>
    <n v="43"/>
    <n v="496"/>
    <x v="0"/>
    <n v="99.2"/>
    <n v="4"/>
    <n v="8.0000000000000002E-3"/>
  </r>
  <r>
    <x v="146"/>
    <x v="146"/>
    <x v="2"/>
    <n v="120"/>
    <n v="89"/>
    <n v="114"/>
    <n v="94"/>
    <n v="118"/>
    <n v="535"/>
    <x v="0"/>
    <n v="107"/>
    <n v="-35"/>
    <n v="0"/>
  </r>
  <r>
    <x v="147"/>
    <x v="147"/>
    <x v="3"/>
    <n v="84"/>
    <n v="134"/>
    <n v="82"/>
    <n v="109"/>
    <n v="95"/>
    <n v="504"/>
    <x v="0"/>
    <n v="100.8"/>
    <n v="-4"/>
    <n v="0"/>
  </r>
  <r>
    <x v="148"/>
    <x v="148"/>
    <x v="0"/>
    <n v="149"/>
    <n v="92"/>
    <n v="102"/>
    <n v="56"/>
    <n v="97"/>
    <n v="496"/>
    <x v="0"/>
    <n v="99.2"/>
    <n v="4"/>
    <n v="8.0000000000000002E-3"/>
  </r>
  <r>
    <x v="149"/>
    <x v="149"/>
    <x v="1"/>
    <n v="40"/>
    <n v="130"/>
    <n v="72"/>
    <n v="123"/>
    <n v="124"/>
    <n v="489"/>
    <x v="0"/>
    <n v="97.8"/>
    <n v="11"/>
    <n v="2.1999999999999999E-2"/>
  </r>
  <r>
    <x v="150"/>
    <x v="150"/>
    <x v="1"/>
    <n v="50"/>
    <n v="66"/>
    <n v="107"/>
    <n v="103"/>
    <n v="91"/>
    <n v="417"/>
    <x v="0"/>
    <n v="83.4"/>
    <n v="83"/>
    <n v="0.16600000000000001"/>
  </r>
  <r>
    <x v="151"/>
    <x v="151"/>
    <x v="3"/>
    <n v="145"/>
    <n v="117"/>
    <n v="65"/>
    <n v="111"/>
    <n v="96"/>
    <n v="534"/>
    <x v="0"/>
    <n v="106.8"/>
    <n v="-34"/>
    <n v="0"/>
  </r>
  <r>
    <x v="152"/>
    <x v="152"/>
    <x v="2"/>
    <n v="121"/>
    <n v="93"/>
    <n v="73"/>
    <n v="148"/>
    <n v="107"/>
    <n v="542"/>
    <x v="0"/>
    <n v="108.4"/>
    <n v="-42"/>
    <n v="0"/>
  </r>
  <r>
    <x v="153"/>
    <x v="153"/>
    <x v="3"/>
    <n v="76"/>
    <n v="105"/>
    <n v="99"/>
    <n v="97"/>
    <n v="54"/>
    <n v="431"/>
    <x v="0"/>
    <n v="86.2"/>
    <n v="69"/>
    <n v="0.13800000000000001"/>
  </r>
  <r>
    <x v="154"/>
    <x v="154"/>
    <x v="0"/>
    <n v="127"/>
    <n v="55"/>
    <n v="115"/>
    <n v="138"/>
    <n v="120"/>
    <n v="555"/>
    <x v="0"/>
    <n v="111"/>
    <n v="-55"/>
    <n v="0"/>
  </r>
  <r>
    <x v="155"/>
    <x v="155"/>
    <x v="3"/>
    <n v="104"/>
    <n v="120"/>
    <n v="95"/>
    <n v="106"/>
    <n v="97"/>
    <n v="522"/>
    <x v="0"/>
    <n v="104.4"/>
    <n v="-22"/>
    <n v="0"/>
  </r>
  <r>
    <x v="156"/>
    <x v="156"/>
    <x v="4"/>
    <n v="131"/>
    <n v="139"/>
    <n v="76"/>
    <n v="47"/>
    <n v="90"/>
    <n v="483"/>
    <x v="0"/>
    <n v="96.6"/>
    <n v="17"/>
    <n v="3.4000000000000002E-2"/>
  </r>
  <r>
    <x v="157"/>
    <x v="157"/>
    <x v="0"/>
    <n v="105"/>
    <n v="44"/>
    <n v="140"/>
    <n v="96"/>
    <n v="49"/>
    <n v="434"/>
    <x v="0"/>
    <n v="86.8"/>
    <n v="66"/>
    <n v="0.13200000000000001"/>
  </r>
  <r>
    <x v="158"/>
    <x v="158"/>
    <x v="0"/>
    <n v="117"/>
    <n v="66"/>
    <n v="128"/>
    <n v="79"/>
    <n v="79"/>
    <n v="469"/>
    <x v="0"/>
    <n v="93.8"/>
    <n v="31"/>
    <n v="6.2E-2"/>
  </r>
  <r>
    <x v="159"/>
    <x v="159"/>
    <x v="1"/>
    <n v="60"/>
    <n v="57"/>
    <n v="98"/>
    <n v="42"/>
    <n v="145"/>
    <n v="402"/>
    <x v="0"/>
    <n v="80.400000000000006"/>
    <n v="98"/>
    <n v="0.19600000000000001"/>
  </r>
  <r>
    <x v="160"/>
    <x v="160"/>
    <x v="1"/>
    <n v="46"/>
    <n v="142"/>
    <n v="110"/>
    <n v="47"/>
    <n v="86"/>
    <n v="431"/>
    <x v="0"/>
    <n v="86.2"/>
    <n v="69"/>
    <n v="0.13800000000000001"/>
  </r>
  <r>
    <x v="161"/>
    <x v="161"/>
    <x v="2"/>
    <n v="88"/>
    <n v="122"/>
    <n v="146"/>
    <n v="107"/>
    <n v="64"/>
    <n v="527"/>
    <x v="0"/>
    <n v="105.4"/>
    <n v="-27"/>
    <n v="0"/>
  </r>
  <r>
    <x v="162"/>
    <x v="162"/>
    <x v="4"/>
    <n v="82"/>
    <n v="86"/>
    <n v="56"/>
    <n v="60"/>
    <n v="111"/>
    <n v="395"/>
    <x v="0"/>
    <n v="79"/>
    <n v="105"/>
    <n v="0.21"/>
  </r>
  <r>
    <x v="163"/>
    <x v="163"/>
    <x v="4"/>
    <n v="121"/>
    <n v="130"/>
    <n v="41"/>
    <n v="49"/>
    <n v="45"/>
    <n v="386"/>
    <x v="0"/>
    <n v="77.2"/>
    <n v="114"/>
    <n v="0.22800000000000001"/>
  </r>
  <r>
    <x v="164"/>
    <x v="164"/>
    <x v="0"/>
    <n v="135"/>
    <n v="105"/>
    <n v="134"/>
    <n v="60"/>
    <n v="57"/>
    <n v="491"/>
    <x v="0"/>
    <n v="98.2"/>
    <n v="9"/>
    <n v="1.7999999999999999E-2"/>
  </r>
  <r>
    <x v="165"/>
    <x v="165"/>
    <x v="1"/>
    <n v="121"/>
    <n v="119"/>
    <n v="138"/>
    <n v="85"/>
    <n v="95"/>
    <n v="558"/>
    <x v="0"/>
    <n v="111.6"/>
    <n v="-58"/>
    <n v="0"/>
  </r>
  <r>
    <x v="166"/>
    <x v="166"/>
    <x v="1"/>
    <n v="93"/>
    <n v="77"/>
    <n v="122"/>
    <n v="40"/>
    <n v="68"/>
    <n v="400"/>
    <x v="0"/>
    <n v="80"/>
    <n v="100"/>
    <n v="0.2"/>
  </r>
  <r>
    <x v="167"/>
    <x v="167"/>
    <x v="0"/>
    <n v="149"/>
    <n v="57"/>
    <n v="143"/>
    <n v="80"/>
    <n v="135"/>
    <n v="564"/>
    <x v="0"/>
    <n v="112.8"/>
    <n v="-64"/>
    <n v="0"/>
  </r>
  <r>
    <x v="168"/>
    <x v="168"/>
    <x v="4"/>
    <n v="145"/>
    <n v="135"/>
    <n v="142"/>
    <n v="142"/>
    <n v="54"/>
    <n v="618"/>
    <x v="0"/>
    <n v="123.6"/>
    <n v="-118"/>
    <n v="0"/>
  </r>
  <r>
    <x v="169"/>
    <x v="169"/>
    <x v="0"/>
    <n v="63"/>
    <n v="112"/>
    <n v="130"/>
    <n v="115"/>
    <n v="66"/>
    <n v="486"/>
    <x v="0"/>
    <n v="97.2"/>
    <n v="14"/>
    <n v="2.8000000000000001E-2"/>
  </r>
  <r>
    <x v="170"/>
    <x v="170"/>
    <x v="2"/>
    <n v="131"/>
    <n v="143"/>
    <n v="109"/>
    <n v="51"/>
    <n v="50"/>
    <n v="484"/>
    <x v="0"/>
    <n v="96.8"/>
    <n v="16"/>
    <n v="3.2000000000000001E-2"/>
  </r>
  <r>
    <x v="171"/>
    <x v="171"/>
    <x v="3"/>
    <n v="76"/>
    <n v="118"/>
    <n v="147"/>
    <n v="103"/>
    <n v="98"/>
    <n v="542"/>
    <x v="0"/>
    <n v="108.4"/>
    <n v="-42"/>
    <n v="0"/>
  </r>
  <r>
    <x v="172"/>
    <x v="172"/>
    <x v="2"/>
    <n v="125"/>
    <n v="107"/>
    <n v="102"/>
    <n v="44"/>
    <n v="47"/>
    <n v="425"/>
    <x v="0"/>
    <n v="85"/>
    <n v="75"/>
    <n v="0.15"/>
  </r>
  <r>
    <x v="173"/>
    <x v="173"/>
    <x v="2"/>
    <n v="46"/>
    <n v="148"/>
    <n v="48"/>
    <n v="114"/>
    <n v="110"/>
    <n v="466"/>
    <x v="0"/>
    <n v="93.2"/>
    <n v="34"/>
    <n v="6.8000000000000005E-2"/>
  </r>
  <r>
    <x v="174"/>
    <x v="174"/>
    <x v="3"/>
    <n v="72"/>
    <n v="125"/>
    <n v="75"/>
    <n v="66"/>
    <n v="93"/>
    <n v="431"/>
    <x v="0"/>
    <n v="86.2"/>
    <n v="69"/>
    <n v="0.13800000000000001"/>
  </r>
  <r>
    <x v="175"/>
    <x v="175"/>
    <x v="0"/>
    <n v="146"/>
    <n v="85"/>
    <n v="116"/>
    <n v="45"/>
    <n v="141"/>
    <n v="533"/>
    <x v="0"/>
    <n v="106.6"/>
    <n v="-33"/>
    <n v="0"/>
  </r>
  <r>
    <x v="176"/>
    <x v="176"/>
    <x v="4"/>
    <n v="139"/>
    <n v="125"/>
    <n v="110"/>
    <n v="42"/>
    <n v="94"/>
    <n v="510"/>
    <x v="0"/>
    <n v="102"/>
    <n v="-10"/>
    <n v="0"/>
  </r>
  <r>
    <x v="177"/>
    <x v="177"/>
    <x v="3"/>
    <n v="51"/>
    <n v="97"/>
    <n v="85"/>
    <n v="117"/>
    <n v="87"/>
    <n v="437"/>
    <x v="0"/>
    <n v="87.4"/>
    <n v="63"/>
    <n v="0.126"/>
  </r>
  <r>
    <x v="178"/>
    <x v="178"/>
    <x v="4"/>
    <n v="73"/>
    <n v="139"/>
    <n v="103"/>
    <n v="41"/>
    <n v="92"/>
    <n v="448"/>
    <x v="0"/>
    <n v="89.6"/>
    <n v="52"/>
    <n v="0.104"/>
  </r>
  <r>
    <x v="179"/>
    <x v="179"/>
    <x v="3"/>
    <n v="46"/>
    <n v="70"/>
    <n v="45"/>
    <n v="112"/>
    <n v="125"/>
    <n v="398"/>
    <x v="0"/>
    <n v="79.599999999999994"/>
    <n v="102"/>
    <n v="0.20399999999999999"/>
  </r>
  <r>
    <x v="180"/>
    <x v="180"/>
    <x v="1"/>
    <n v="125"/>
    <n v="118"/>
    <n v="83"/>
    <n v="88"/>
    <n v="59"/>
    <n v="473"/>
    <x v="0"/>
    <n v="94.6"/>
    <n v="27"/>
    <n v="5.3999999999999999E-2"/>
  </r>
  <r>
    <x v="181"/>
    <x v="181"/>
    <x v="1"/>
    <n v="136"/>
    <n v="82"/>
    <n v="80"/>
    <n v="52"/>
    <n v="99"/>
    <n v="449"/>
    <x v="0"/>
    <n v="89.8"/>
    <n v="51"/>
    <n v="0.10199999999999999"/>
  </r>
  <r>
    <x v="182"/>
    <x v="182"/>
    <x v="0"/>
    <n v="102"/>
    <n v="63"/>
    <n v="104"/>
    <n v="60"/>
    <n v="83"/>
    <n v="412"/>
    <x v="0"/>
    <n v="82.4"/>
    <n v="88"/>
    <n v="0.17599999999999999"/>
  </r>
  <r>
    <x v="183"/>
    <x v="183"/>
    <x v="3"/>
    <n v="138"/>
    <n v="111"/>
    <n v="145"/>
    <n v="126"/>
    <n v="133"/>
    <n v="653"/>
    <x v="0"/>
    <n v="130.6"/>
    <n v="-153"/>
    <n v="0"/>
  </r>
  <r>
    <x v="184"/>
    <x v="184"/>
    <x v="1"/>
    <n v="123"/>
    <n v="127"/>
    <n v="81"/>
    <n v="123"/>
    <n v="115"/>
    <n v="569"/>
    <x v="0"/>
    <n v="113.8"/>
    <n v="-69"/>
    <n v="0"/>
  </r>
  <r>
    <x v="185"/>
    <x v="185"/>
    <x v="3"/>
    <n v="149"/>
    <n v="80"/>
    <n v="78"/>
    <n v="115"/>
    <n v="133"/>
    <n v="555"/>
    <x v="0"/>
    <n v="111"/>
    <n v="-55"/>
    <n v="0"/>
  </r>
  <r>
    <x v="186"/>
    <x v="186"/>
    <x v="1"/>
    <n v="121"/>
    <n v="60"/>
    <n v="80"/>
    <n v="133"/>
    <n v="132"/>
    <n v="526"/>
    <x v="0"/>
    <n v="105.2"/>
    <n v="-26"/>
    <n v="0"/>
  </r>
  <r>
    <x v="187"/>
    <x v="187"/>
    <x v="2"/>
    <n v="112"/>
    <n v="150"/>
    <n v="79"/>
    <n v="101"/>
    <n v="74"/>
    <n v="516"/>
    <x v="0"/>
    <n v="103.2"/>
    <n v="-16"/>
    <n v="0"/>
  </r>
  <r>
    <x v="188"/>
    <x v="188"/>
    <x v="3"/>
    <n v="77"/>
    <n v="57"/>
    <n v="44"/>
    <n v="86"/>
    <n v="97"/>
    <n v="361"/>
    <x v="0"/>
    <n v="72.2"/>
    <n v="139"/>
    <n v="0.27800000000000002"/>
  </r>
  <r>
    <x v="189"/>
    <x v="189"/>
    <x v="2"/>
    <n v="78"/>
    <n v="49"/>
    <n v="61"/>
    <n v="54"/>
    <n v="77"/>
    <n v="319"/>
    <x v="0"/>
    <n v="63.8"/>
    <n v="181"/>
    <n v="0.36199999999999999"/>
  </r>
  <r>
    <x v="190"/>
    <x v="190"/>
    <x v="2"/>
    <n v="69"/>
    <n v="53"/>
    <n v="44"/>
    <n v="144"/>
    <n v="95"/>
    <n v="405"/>
    <x v="0"/>
    <n v="81"/>
    <n v="95"/>
    <n v="0.19"/>
  </r>
  <r>
    <x v="191"/>
    <x v="191"/>
    <x v="3"/>
    <n v="81"/>
    <n v="79"/>
    <n v="47"/>
    <n v="63"/>
    <n v="138"/>
    <n v="408"/>
    <x v="0"/>
    <n v="81.599999999999994"/>
    <n v="92"/>
    <n v="0.184"/>
  </r>
  <r>
    <x v="192"/>
    <x v="192"/>
    <x v="2"/>
    <n v="91"/>
    <n v="107"/>
    <n v="134"/>
    <n v="79"/>
    <n v="98"/>
    <n v="509"/>
    <x v="0"/>
    <n v="101.8"/>
    <n v="-9"/>
    <n v="0"/>
  </r>
  <r>
    <x v="193"/>
    <x v="193"/>
    <x v="3"/>
    <n v="76"/>
    <n v="50"/>
    <n v="142"/>
    <n v="136"/>
    <n v="56"/>
    <n v="460"/>
    <x v="0"/>
    <n v="92"/>
    <n v="40"/>
    <n v="0.08"/>
  </r>
  <r>
    <x v="194"/>
    <x v="194"/>
    <x v="1"/>
    <n v="82"/>
    <n v="63"/>
    <n v="129"/>
    <n v="106"/>
    <n v="44"/>
    <n v="424"/>
    <x v="0"/>
    <n v="84.8"/>
    <n v="76"/>
    <n v="0.152"/>
  </r>
  <r>
    <x v="195"/>
    <x v="195"/>
    <x v="0"/>
    <n v="85"/>
    <n v="103"/>
    <n v="82"/>
    <n v="71"/>
    <n v="129"/>
    <n v="470"/>
    <x v="0"/>
    <n v="94"/>
    <n v="30"/>
    <n v="0.06"/>
  </r>
  <r>
    <x v="196"/>
    <x v="196"/>
    <x v="1"/>
    <n v="150"/>
    <n v="108"/>
    <n v="90"/>
    <n v="91"/>
    <n v="144"/>
    <n v="583"/>
    <x v="0"/>
    <n v="116.6"/>
    <n v="-83"/>
    <n v="0"/>
  </r>
  <r>
    <x v="197"/>
    <x v="197"/>
    <x v="2"/>
    <n v="44"/>
    <n v="91"/>
    <n v="85"/>
    <n v="96"/>
    <n v="105"/>
    <n v="421"/>
    <x v="0"/>
    <n v="84.2"/>
    <n v="79"/>
    <n v="0.158"/>
  </r>
  <r>
    <x v="198"/>
    <x v="198"/>
    <x v="2"/>
    <n v="97"/>
    <n v="59"/>
    <n v="50"/>
    <n v="138"/>
    <n v="129"/>
    <n v="473"/>
    <x v="0"/>
    <n v="94.6"/>
    <n v="27"/>
    <n v="5.3999999999999999E-2"/>
  </r>
  <r>
    <x v="199"/>
    <x v="199"/>
    <x v="4"/>
    <n v="147"/>
    <n v="117"/>
    <n v="72"/>
    <n v="63"/>
    <n v="103"/>
    <n v="502"/>
    <x v="0"/>
    <n v="100.4"/>
    <n v="-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A6FE0-2790-4ABA-981D-9B675760305F}" name="PivotTable1" cacheId="448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3:B9" firstHeaderRow="1" firstDataRow="1" firstDataCol="1"/>
  <pivotFields count="13">
    <pivotField compact="0" outline="0" showAll="0"/>
    <pivotField axis="axisRow" compact="0" outline="0" showAll="0" measureFilter="1">
      <items count="201">
        <item x="118"/>
        <item x="17"/>
        <item x="1"/>
        <item x="39"/>
        <item x="42"/>
        <item x="97"/>
        <item x="85"/>
        <item x="162"/>
        <item x="147"/>
        <item x="88"/>
        <item x="140"/>
        <item x="2"/>
        <item x="149"/>
        <item x="152"/>
        <item x="126"/>
        <item x="179"/>
        <item x="199"/>
        <item x="156"/>
        <item x="59"/>
        <item x="172"/>
        <item x="30"/>
        <item x="98"/>
        <item x="112"/>
        <item x="73"/>
        <item x="18"/>
        <item x="49"/>
        <item x="180"/>
        <item x="159"/>
        <item x="10"/>
        <item x="125"/>
        <item x="4"/>
        <item x="66"/>
        <item x="70"/>
        <item x="139"/>
        <item x="143"/>
        <item x="7"/>
        <item x="131"/>
        <item x="100"/>
        <item x="79"/>
        <item x="80"/>
        <item x="182"/>
        <item x="55"/>
        <item x="103"/>
        <item x="27"/>
        <item x="68"/>
        <item x="48"/>
        <item x="15"/>
        <item x="96"/>
        <item x="95"/>
        <item x="175"/>
        <item x="105"/>
        <item x="75"/>
        <item x="52"/>
        <item x="181"/>
        <item x="51"/>
        <item x="63"/>
        <item x="20"/>
        <item x="8"/>
        <item x="184"/>
        <item x="117"/>
        <item x="43"/>
        <item x="163"/>
        <item x="194"/>
        <item x="108"/>
        <item x="197"/>
        <item x="151"/>
        <item x="35"/>
        <item x="41"/>
        <item x="92"/>
        <item x="115"/>
        <item x="132"/>
        <item x="121"/>
        <item x="119"/>
        <item x="31"/>
        <item x="26"/>
        <item x="29"/>
        <item x="150"/>
        <item x="45"/>
        <item x="40"/>
        <item x="36"/>
        <item x="62"/>
        <item x="192"/>
        <item x="122"/>
        <item x="87"/>
        <item x="195"/>
        <item x="33"/>
        <item x="186"/>
        <item x="176"/>
        <item x="174"/>
        <item x="22"/>
        <item x="16"/>
        <item x="64"/>
        <item x="19"/>
        <item x="89"/>
        <item x="90"/>
        <item x="106"/>
        <item x="32"/>
        <item x="137"/>
        <item x="93"/>
        <item x="166"/>
        <item x="144"/>
        <item x="127"/>
        <item x="24"/>
        <item x="65"/>
        <item x="77"/>
        <item x="185"/>
        <item x="133"/>
        <item x="12"/>
        <item x="193"/>
        <item x="189"/>
        <item x="102"/>
        <item x="178"/>
        <item x="71"/>
        <item x="123"/>
        <item x="23"/>
        <item x="44"/>
        <item x="141"/>
        <item x="0"/>
        <item x="56"/>
        <item x="86"/>
        <item x="84"/>
        <item x="54"/>
        <item x="101"/>
        <item x="53"/>
        <item x="188"/>
        <item x="145"/>
        <item x="47"/>
        <item x="148"/>
        <item x="6"/>
        <item x="129"/>
        <item x="138"/>
        <item x="173"/>
        <item x="160"/>
        <item x="76"/>
        <item x="91"/>
        <item x="153"/>
        <item x="113"/>
        <item x="5"/>
        <item x="183"/>
        <item x="69"/>
        <item x="111"/>
        <item x="114"/>
        <item x="14"/>
        <item x="82"/>
        <item x="171"/>
        <item x="81"/>
        <item x="142"/>
        <item x="157"/>
        <item x="120"/>
        <item x="124"/>
        <item x="25"/>
        <item x="155"/>
        <item x="146"/>
        <item x="130"/>
        <item x="168"/>
        <item x="21"/>
        <item x="60"/>
        <item x="67"/>
        <item x="104"/>
        <item x="107"/>
        <item x="154"/>
        <item x="128"/>
        <item x="94"/>
        <item x="161"/>
        <item x="3"/>
        <item x="11"/>
        <item x="109"/>
        <item x="57"/>
        <item x="110"/>
        <item x="196"/>
        <item x="50"/>
        <item x="38"/>
        <item x="74"/>
        <item x="37"/>
        <item x="134"/>
        <item x="28"/>
        <item x="177"/>
        <item x="116"/>
        <item x="83"/>
        <item x="165"/>
        <item x="187"/>
        <item x="164"/>
        <item x="9"/>
        <item x="167"/>
        <item x="135"/>
        <item x="158"/>
        <item x="190"/>
        <item x="191"/>
        <item x="169"/>
        <item x="170"/>
        <item x="13"/>
        <item x="46"/>
        <item x="78"/>
        <item x="99"/>
        <item x="34"/>
        <item x="136"/>
        <item x="58"/>
        <item x="198"/>
        <item x="61"/>
        <item x="72"/>
        <item t="default"/>
      </items>
    </pivotField>
    <pivotField compact="0" outline="0" showAll="0">
      <items count="6">
        <item h="1" x="3"/>
        <item h="1" x="0"/>
        <item x="4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1"/>
  </rowFields>
  <rowItems count="6">
    <i>
      <x v="10"/>
    </i>
    <i>
      <x v="100"/>
    </i>
    <i>
      <x v="104"/>
    </i>
    <i>
      <x v="154"/>
    </i>
    <i>
      <x v="194"/>
    </i>
    <i t="grand">
      <x/>
    </i>
  </rowItems>
  <colItems count="1">
    <i/>
  </colItems>
  <dataFields count="1">
    <dataField name="Total Sales " fld="8" baseField="0" baseItem="0"/>
  </dataFields>
  <formats count="6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" type="button" dataOnly="0" labelOnly="1" outline="0" axis="axisRow" fieldPosition="0"/>
    </format>
    <format dxfId="25">
      <pivotArea dataOnly="0" labelOnly="1" outline="0" fieldPosition="0">
        <references count="1">
          <reference field="1" count="5">
            <x v="0"/>
            <x v="33"/>
            <x v="45"/>
            <x v="138"/>
            <x v="177"/>
          </reference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1614E-CA4F-45F2-9190-EB1E459833FE}" name="PivotTable4" cacheId="448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chartFormat="2">
  <location ref="J3:K8" firstHeaderRow="1" firstDataRow="1" firstDataCol="1"/>
  <pivotFields count="13">
    <pivotField compact="0" outline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outline="0" showAll="0" measureFilter="1">
      <items count="201">
        <item x="118"/>
        <item x="17"/>
        <item x="1"/>
        <item x="39"/>
        <item x="42"/>
        <item x="97"/>
        <item x="85"/>
        <item x="162"/>
        <item x="147"/>
        <item x="88"/>
        <item x="140"/>
        <item x="2"/>
        <item x="149"/>
        <item x="152"/>
        <item x="126"/>
        <item x="179"/>
        <item x="199"/>
        <item x="156"/>
        <item x="59"/>
        <item x="172"/>
        <item x="30"/>
        <item x="98"/>
        <item x="112"/>
        <item x="73"/>
        <item x="18"/>
        <item x="49"/>
        <item x="180"/>
        <item x="159"/>
        <item x="10"/>
        <item x="125"/>
        <item x="4"/>
        <item x="66"/>
        <item x="70"/>
        <item x="139"/>
        <item x="143"/>
        <item x="7"/>
        <item x="131"/>
        <item x="100"/>
        <item x="79"/>
        <item x="80"/>
        <item x="182"/>
        <item x="55"/>
        <item x="103"/>
        <item x="27"/>
        <item x="68"/>
        <item x="48"/>
        <item x="15"/>
        <item x="96"/>
        <item x="95"/>
        <item x="175"/>
        <item x="105"/>
        <item x="75"/>
        <item x="52"/>
        <item x="181"/>
        <item x="51"/>
        <item x="63"/>
        <item x="20"/>
        <item x="8"/>
        <item x="184"/>
        <item x="117"/>
        <item x="43"/>
        <item x="163"/>
        <item x="194"/>
        <item x="108"/>
        <item x="197"/>
        <item x="151"/>
        <item x="35"/>
        <item x="41"/>
        <item x="92"/>
        <item x="115"/>
        <item x="132"/>
        <item x="121"/>
        <item x="119"/>
        <item x="31"/>
        <item x="26"/>
        <item x="29"/>
        <item x="150"/>
        <item x="45"/>
        <item x="40"/>
        <item x="36"/>
        <item x="62"/>
        <item x="192"/>
        <item x="122"/>
        <item x="87"/>
        <item x="195"/>
        <item x="33"/>
        <item x="186"/>
        <item x="176"/>
        <item x="174"/>
        <item x="22"/>
        <item x="16"/>
        <item x="64"/>
        <item x="19"/>
        <item x="89"/>
        <item x="90"/>
        <item x="106"/>
        <item x="32"/>
        <item x="137"/>
        <item x="93"/>
        <item x="166"/>
        <item x="144"/>
        <item x="127"/>
        <item x="24"/>
        <item x="65"/>
        <item x="77"/>
        <item x="185"/>
        <item x="133"/>
        <item x="12"/>
        <item x="193"/>
        <item x="189"/>
        <item x="102"/>
        <item x="178"/>
        <item x="71"/>
        <item x="123"/>
        <item x="23"/>
        <item x="44"/>
        <item x="141"/>
        <item x="0"/>
        <item x="56"/>
        <item x="86"/>
        <item x="84"/>
        <item x="54"/>
        <item x="101"/>
        <item x="53"/>
        <item x="188"/>
        <item x="145"/>
        <item x="47"/>
        <item x="148"/>
        <item x="6"/>
        <item x="129"/>
        <item x="138"/>
        <item x="173"/>
        <item x="160"/>
        <item x="76"/>
        <item x="91"/>
        <item x="153"/>
        <item x="113"/>
        <item x="5"/>
        <item x="183"/>
        <item x="69"/>
        <item x="111"/>
        <item x="114"/>
        <item x="14"/>
        <item x="82"/>
        <item x="171"/>
        <item x="81"/>
        <item x="142"/>
        <item x="157"/>
        <item x="120"/>
        <item x="124"/>
        <item x="25"/>
        <item x="155"/>
        <item x="146"/>
        <item x="130"/>
        <item x="168"/>
        <item x="21"/>
        <item x="60"/>
        <item x="67"/>
        <item x="104"/>
        <item x="107"/>
        <item x="154"/>
        <item x="128"/>
        <item x="94"/>
        <item x="161"/>
        <item x="3"/>
        <item x="11"/>
        <item x="109"/>
        <item x="57"/>
        <item x="110"/>
        <item x="196"/>
        <item x="50"/>
        <item x="38"/>
        <item x="74"/>
        <item x="37"/>
        <item x="134"/>
        <item x="28"/>
        <item x="177"/>
        <item x="116"/>
        <item x="83"/>
        <item x="165"/>
        <item x="187"/>
        <item x="164"/>
        <item x="9"/>
        <item x="167"/>
        <item x="135"/>
        <item x="158"/>
        <item x="190"/>
        <item x="191"/>
        <item x="169"/>
        <item x="170"/>
        <item x="13"/>
        <item x="46"/>
        <item x="78"/>
        <item x="99"/>
        <item x="34"/>
        <item x="136"/>
        <item x="58"/>
        <item x="198"/>
        <item x="61"/>
        <item x="72"/>
        <item t="default"/>
      </items>
    </pivotField>
    <pivotField compact="0" outline="0" showAll="0">
      <items count="6">
        <item h="1" x="3"/>
        <item h="1" x="0"/>
        <item x="4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dataField="1" compact="0" numFmtId="9" outline="0" showAll="0"/>
  </pivotFields>
  <rowFields count="1">
    <field x="1"/>
  </rowFields>
  <rowItems count="5">
    <i>
      <x v="37"/>
    </i>
    <i>
      <x v="44"/>
    </i>
    <i>
      <x v="61"/>
    </i>
    <i>
      <x v="148"/>
    </i>
    <i>
      <x v="155"/>
    </i>
  </rowItems>
  <colItems count="1">
    <i/>
  </colItems>
  <dataFields count="1">
    <dataField name="Away From Target % " fld="12" baseField="0" baseItem="0" numFmtId="9"/>
  </dataFields>
  <formats count="8">
    <format dxfId="14">
      <pivotArea outline="0" fieldPosition="0">
        <references count="1">
          <reference field="1" count="5" selected="0">
            <x v="0"/>
            <x v="33"/>
            <x v="45"/>
            <x v="138"/>
            <x v="177"/>
          </reference>
        </references>
      </pivotArea>
    </format>
    <format dxfId="15">
      <pivotArea dataOnly="0" labelOnly="1" outline="0" axis="axisValues" fieldPosition="0"/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1" type="button" dataOnly="0" labelOnly="1" outline="0" axis="axisRow" fieldPosition="0"/>
    </format>
    <format dxfId="19">
      <pivotArea dataOnly="0" labelOnly="1" outline="0" fieldPosition="0">
        <references count="1">
          <reference field="1" count="5">
            <x v="0"/>
            <x v="33"/>
            <x v="45"/>
            <x v="138"/>
            <x v="177"/>
          </reference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filters count="1">
    <filter fld="1" type="count" evalOrder="-1" id="1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C7731-6061-4C02-98B6-6DE1B4E081C2}" name="PivotTable3" cacheId="4481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compact="0" compactData="0" multipleFieldFilters="0" chartFormat="1">
  <location ref="G3:H8" firstHeaderRow="1" firstDataRow="1" firstDataCol="1"/>
  <pivotFields count="13">
    <pivotField compact="0" outline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outline="0" showAll="0" measureFilter="1">
      <items count="201">
        <item x="118"/>
        <item x="17"/>
        <item x="1"/>
        <item x="39"/>
        <item x="42"/>
        <item x="97"/>
        <item x="85"/>
        <item x="162"/>
        <item x="147"/>
        <item x="88"/>
        <item x="140"/>
        <item x="2"/>
        <item x="149"/>
        <item x="152"/>
        <item x="126"/>
        <item x="179"/>
        <item x="199"/>
        <item x="156"/>
        <item x="59"/>
        <item x="172"/>
        <item x="30"/>
        <item x="98"/>
        <item x="112"/>
        <item x="73"/>
        <item x="18"/>
        <item x="49"/>
        <item x="180"/>
        <item x="159"/>
        <item x="10"/>
        <item x="125"/>
        <item x="4"/>
        <item x="66"/>
        <item x="70"/>
        <item x="139"/>
        <item x="143"/>
        <item x="7"/>
        <item x="131"/>
        <item x="100"/>
        <item x="79"/>
        <item x="80"/>
        <item x="182"/>
        <item x="55"/>
        <item x="103"/>
        <item x="27"/>
        <item x="68"/>
        <item x="48"/>
        <item x="15"/>
        <item x="96"/>
        <item x="95"/>
        <item x="175"/>
        <item x="105"/>
        <item x="75"/>
        <item x="52"/>
        <item x="181"/>
        <item x="51"/>
        <item x="63"/>
        <item x="20"/>
        <item x="8"/>
        <item x="184"/>
        <item x="117"/>
        <item x="43"/>
        <item x="163"/>
        <item x="194"/>
        <item x="108"/>
        <item x="197"/>
        <item x="151"/>
        <item x="35"/>
        <item x="41"/>
        <item x="92"/>
        <item x="115"/>
        <item x="132"/>
        <item x="121"/>
        <item x="119"/>
        <item x="31"/>
        <item x="26"/>
        <item x="29"/>
        <item x="150"/>
        <item x="45"/>
        <item x="40"/>
        <item x="36"/>
        <item x="62"/>
        <item x="192"/>
        <item x="122"/>
        <item x="87"/>
        <item x="195"/>
        <item x="33"/>
        <item x="186"/>
        <item x="176"/>
        <item x="174"/>
        <item x="22"/>
        <item x="16"/>
        <item x="64"/>
        <item x="19"/>
        <item x="89"/>
        <item x="90"/>
        <item x="106"/>
        <item x="32"/>
        <item x="137"/>
        <item x="93"/>
        <item x="166"/>
        <item x="144"/>
        <item x="127"/>
        <item x="24"/>
        <item x="65"/>
        <item x="77"/>
        <item x="185"/>
        <item x="133"/>
        <item x="12"/>
        <item x="193"/>
        <item x="189"/>
        <item x="102"/>
        <item x="178"/>
        <item x="71"/>
        <item x="123"/>
        <item x="23"/>
        <item x="44"/>
        <item x="141"/>
        <item x="0"/>
        <item x="56"/>
        <item x="86"/>
        <item x="84"/>
        <item x="54"/>
        <item x="101"/>
        <item x="53"/>
        <item x="188"/>
        <item x="145"/>
        <item x="47"/>
        <item x="148"/>
        <item x="6"/>
        <item x="129"/>
        <item x="138"/>
        <item x="173"/>
        <item x="160"/>
        <item x="76"/>
        <item x="91"/>
        <item x="153"/>
        <item x="113"/>
        <item x="5"/>
        <item x="183"/>
        <item x="69"/>
        <item x="111"/>
        <item x="114"/>
        <item x="14"/>
        <item x="82"/>
        <item x="171"/>
        <item x="81"/>
        <item x="142"/>
        <item x="157"/>
        <item x="120"/>
        <item x="124"/>
        <item x="25"/>
        <item x="155"/>
        <item x="146"/>
        <item x="130"/>
        <item x="168"/>
        <item x="21"/>
        <item x="60"/>
        <item x="67"/>
        <item x="104"/>
        <item x="107"/>
        <item x="154"/>
        <item x="128"/>
        <item x="94"/>
        <item x="161"/>
        <item x="3"/>
        <item x="11"/>
        <item x="109"/>
        <item x="57"/>
        <item x="110"/>
        <item x="196"/>
        <item x="50"/>
        <item x="38"/>
        <item x="74"/>
        <item x="37"/>
        <item x="134"/>
        <item x="28"/>
        <item x="177"/>
        <item x="116"/>
        <item x="83"/>
        <item x="165"/>
        <item x="187"/>
        <item x="164"/>
        <item x="9"/>
        <item x="167"/>
        <item x="135"/>
        <item x="158"/>
        <item x="190"/>
        <item x="191"/>
        <item x="169"/>
        <item x="170"/>
        <item x="13"/>
        <item x="46"/>
        <item x="78"/>
        <item x="99"/>
        <item x="34"/>
        <item x="136"/>
        <item x="58"/>
        <item x="198"/>
        <item x="61"/>
        <item x="72"/>
        <item t="default"/>
      </items>
    </pivotField>
    <pivotField compact="0" outline="0" showAll="0">
      <items count="6">
        <item h="1" x="3"/>
        <item h="1" x="0"/>
        <item x="4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dataField="1" compact="0" outline="0" showAll="0"/>
    <pivotField compact="0" outline="0" showAll="0"/>
    <pivotField compact="0" numFmtId="9" outline="0" showAll="0"/>
  </pivotFields>
  <rowFields count="1">
    <field x="1"/>
  </rowFields>
  <rowItems count="5">
    <i>
      <x v="10"/>
    </i>
    <i>
      <x v="100"/>
    </i>
    <i>
      <x v="104"/>
    </i>
    <i>
      <x v="154"/>
    </i>
    <i>
      <x v="194"/>
    </i>
  </rowItems>
  <colItems count="1">
    <i/>
  </colItems>
  <dataFields count="1">
    <dataField name="Target Hit % " fld="10" baseField="0" baseItem="0"/>
  </dataFields>
  <formats count="8">
    <format dxfId="6">
      <pivotArea outline="0" fieldPosition="0">
        <references count="1">
          <reference field="1" count="5" selected="0">
            <x v="0"/>
            <x v="33"/>
            <x v="45"/>
            <x v="138"/>
            <x v="177"/>
          </reference>
        </references>
      </pivotArea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1" type="button" dataOnly="0" labelOnly="1" outline="0" axis="axisRow" fieldPosition="0"/>
    </format>
    <format dxfId="11">
      <pivotArea dataOnly="0" labelOnly="1" outline="0" fieldPosition="0">
        <references count="1">
          <reference field="1" count="5">
            <x v="0"/>
            <x v="33"/>
            <x v="45"/>
            <x v="138"/>
            <x v="177"/>
          </reference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</chartFormats>
  <pivotTableStyleInfo name="PivotStyleMedium13" showRowHeaders="1" showColHeaders="1" showRowStripes="0" showColStripes="0" showLastColumn="1"/>
  <filters count="1">
    <filter fld="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0E431-948C-4BE6-A2F4-27CB3096E6B8}" name="PivotTable2" cacheId="448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D3:E9" firstHeaderRow="1" firstDataRow="1" firstDataCol="1"/>
  <pivotFields count="13">
    <pivotField compact="0" outline="0" showAll="0"/>
    <pivotField axis="axisRow" compact="0" outline="0" showAll="0" measureFilter="1">
      <items count="201">
        <item x="118"/>
        <item x="17"/>
        <item x="1"/>
        <item x="39"/>
        <item x="42"/>
        <item x="97"/>
        <item x="85"/>
        <item x="162"/>
        <item x="147"/>
        <item x="88"/>
        <item x="140"/>
        <item x="2"/>
        <item x="149"/>
        <item x="152"/>
        <item x="126"/>
        <item x="179"/>
        <item x="199"/>
        <item x="156"/>
        <item x="59"/>
        <item x="172"/>
        <item x="30"/>
        <item x="98"/>
        <item x="112"/>
        <item x="73"/>
        <item x="18"/>
        <item x="49"/>
        <item x="180"/>
        <item x="159"/>
        <item x="10"/>
        <item x="125"/>
        <item x="4"/>
        <item x="66"/>
        <item x="70"/>
        <item x="139"/>
        <item x="143"/>
        <item x="7"/>
        <item x="131"/>
        <item x="100"/>
        <item x="79"/>
        <item x="80"/>
        <item x="182"/>
        <item x="55"/>
        <item x="103"/>
        <item x="27"/>
        <item x="68"/>
        <item x="48"/>
        <item x="15"/>
        <item x="96"/>
        <item x="95"/>
        <item x="175"/>
        <item x="105"/>
        <item x="75"/>
        <item x="52"/>
        <item x="181"/>
        <item x="51"/>
        <item x="63"/>
        <item x="20"/>
        <item x="8"/>
        <item x="184"/>
        <item x="117"/>
        <item x="43"/>
        <item x="163"/>
        <item x="194"/>
        <item x="108"/>
        <item x="197"/>
        <item x="151"/>
        <item x="35"/>
        <item x="41"/>
        <item x="92"/>
        <item x="115"/>
        <item x="132"/>
        <item x="121"/>
        <item x="119"/>
        <item x="31"/>
        <item x="26"/>
        <item x="29"/>
        <item x="150"/>
        <item x="45"/>
        <item x="40"/>
        <item x="36"/>
        <item x="62"/>
        <item x="192"/>
        <item x="122"/>
        <item x="87"/>
        <item x="195"/>
        <item x="33"/>
        <item x="186"/>
        <item x="176"/>
        <item x="174"/>
        <item x="22"/>
        <item x="16"/>
        <item x="64"/>
        <item x="19"/>
        <item x="89"/>
        <item x="90"/>
        <item x="106"/>
        <item x="32"/>
        <item x="137"/>
        <item x="93"/>
        <item x="166"/>
        <item x="144"/>
        <item x="127"/>
        <item x="24"/>
        <item x="65"/>
        <item x="77"/>
        <item x="185"/>
        <item x="133"/>
        <item x="12"/>
        <item x="193"/>
        <item x="189"/>
        <item x="102"/>
        <item x="178"/>
        <item x="71"/>
        <item x="123"/>
        <item x="23"/>
        <item x="44"/>
        <item x="141"/>
        <item x="0"/>
        <item x="56"/>
        <item x="86"/>
        <item x="84"/>
        <item x="54"/>
        <item x="101"/>
        <item x="53"/>
        <item x="188"/>
        <item x="145"/>
        <item x="47"/>
        <item x="148"/>
        <item x="6"/>
        <item x="129"/>
        <item x="138"/>
        <item x="173"/>
        <item x="160"/>
        <item x="76"/>
        <item x="91"/>
        <item x="153"/>
        <item x="113"/>
        <item x="5"/>
        <item x="183"/>
        <item x="69"/>
        <item x="111"/>
        <item x="114"/>
        <item x="14"/>
        <item x="82"/>
        <item x="171"/>
        <item x="81"/>
        <item x="142"/>
        <item x="157"/>
        <item x="120"/>
        <item x="124"/>
        <item x="25"/>
        <item x="155"/>
        <item x="146"/>
        <item x="130"/>
        <item x="168"/>
        <item x="21"/>
        <item x="60"/>
        <item x="67"/>
        <item x="104"/>
        <item x="107"/>
        <item x="154"/>
        <item x="128"/>
        <item x="94"/>
        <item x="161"/>
        <item x="3"/>
        <item x="11"/>
        <item x="109"/>
        <item x="57"/>
        <item x="110"/>
        <item x="196"/>
        <item x="50"/>
        <item x="38"/>
        <item x="74"/>
        <item x="37"/>
        <item x="134"/>
        <item x="28"/>
        <item x="177"/>
        <item x="116"/>
        <item x="83"/>
        <item x="165"/>
        <item x="187"/>
        <item x="164"/>
        <item x="9"/>
        <item x="167"/>
        <item x="135"/>
        <item x="158"/>
        <item x="190"/>
        <item x="191"/>
        <item x="169"/>
        <item x="170"/>
        <item x="13"/>
        <item x="46"/>
        <item x="78"/>
        <item x="99"/>
        <item x="34"/>
        <item x="136"/>
        <item x="58"/>
        <item x="198"/>
        <item x="61"/>
        <item x="72"/>
        <item t="default"/>
      </items>
    </pivotField>
    <pivotField compact="0" outline="0" showAll="0">
      <items count="6">
        <item h="1" x="3"/>
        <item h="1" x="0"/>
        <item x="4"/>
        <item h="1"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1"/>
  </rowFields>
  <rowItems count="6">
    <i>
      <x v="37"/>
    </i>
    <i>
      <x v="44"/>
    </i>
    <i>
      <x v="61"/>
    </i>
    <i>
      <x v="148"/>
    </i>
    <i>
      <x v="155"/>
    </i>
    <i t="grand">
      <x/>
    </i>
  </rowItems>
  <colItems count="1">
    <i/>
  </colItems>
  <dataFields count="1">
    <dataField name="Total Sales " fld="8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outline="0" fieldPosition="0">
        <references count="1">
          <reference field="1" count="5">
            <x v="0"/>
            <x v="33"/>
            <x v="45"/>
            <x v="138"/>
            <x v="177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Medium13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AA832F87-FA41-41FB-BBF8-5A402E5D03BB}" sourceName="Region">
  <pivotTables>
    <pivotTable tabId="2" name="PivotTable1"/>
    <pivotTable tabId="2" name="PivotTable2"/>
    <pivotTable tabId="2" name="PivotTable3"/>
    <pivotTable tabId="2" name="PivotTable4"/>
  </pivotTables>
  <data>
    <tabular pivotCacheId="590698504">
      <items count="5">
        <i x="3"/>
        <i x="0"/>
        <i x="4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8F259C81-68E5-49E4-A61F-A25D8B505CDD}" cache="Slicer_Region" caption="Region" columnCount="5" showCaption="0" style="SlicerStyleLight5" rowHeight="361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4CBC-3569-49DF-BE6D-B2ED254FD0DF}">
  <dimension ref="A1:N30"/>
  <sheetViews>
    <sheetView tabSelected="1" workbookViewId="0">
      <selection activeCell="D2" sqref="D2"/>
    </sheetView>
  </sheetViews>
  <sheetFormatPr defaultRowHeight="15"/>
  <cols>
    <col min="1" max="1" width="18" bestFit="1" customWidth="1"/>
    <col min="2" max="2" width="17.7109375" bestFit="1" customWidth="1"/>
    <col min="3" max="3" width="3.85546875" customWidth="1"/>
    <col min="4" max="4" width="18.42578125" customWidth="1"/>
    <col min="5" max="5" width="14.85546875" customWidth="1"/>
    <col min="6" max="6" width="3.7109375" customWidth="1"/>
    <col min="7" max="7" width="18" bestFit="1" customWidth="1"/>
    <col min="8" max="8" width="16.85546875" customWidth="1"/>
    <col min="9" max="9" width="3.7109375" customWidth="1"/>
    <col min="10" max="10" width="22.42578125" customWidth="1"/>
    <col min="11" max="11" width="18.28515625" customWidth="1"/>
    <col min="12" max="12" width="7.85546875" bestFit="1" customWidth="1"/>
    <col min="13" max="13" width="9" bestFit="1" customWidth="1"/>
    <col min="14" max="14" width="10.140625" bestFit="1" customWidth="1"/>
    <col min="15" max="15" width="8.42578125" bestFit="1" customWidth="1"/>
    <col min="16" max="16" width="8.7109375" bestFit="1" customWidth="1"/>
    <col min="17" max="17" width="9" bestFit="1" customWidth="1"/>
    <col min="18" max="18" width="8.5703125" bestFit="1" customWidth="1"/>
    <col min="19" max="19" width="8.42578125" bestFit="1" customWidth="1"/>
    <col min="20" max="20" width="7.28515625" bestFit="1" customWidth="1"/>
    <col min="21" max="21" width="7.85546875" bestFit="1" customWidth="1"/>
    <col min="22" max="22" width="8.28515625" bestFit="1" customWidth="1"/>
    <col min="23" max="23" width="9" bestFit="1" customWidth="1"/>
    <col min="24" max="24" width="8" bestFit="1" customWidth="1"/>
    <col min="25" max="26" width="9.5703125" bestFit="1" customWidth="1"/>
    <col min="27" max="27" width="8.42578125" bestFit="1" customWidth="1"/>
    <col min="28" max="28" width="8.140625" bestFit="1" customWidth="1"/>
    <col min="29" max="29" width="6.85546875" bestFit="1" customWidth="1"/>
    <col min="30" max="30" width="8" bestFit="1" customWidth="1"/>
    <col min="31" max="31" width="8.5703125" bestFit="1" customWidth="1"/>
    <col min="32" max="33" width="7.85546875" bestFit="1" customWidth="1"/>
    <col min="34" max="34" width="9" bestFit="1" customWidth="1"/>
    <col min="35" max="35" width="9.5703125" bestFit="1" customWidth="1"/>
    <col min="36" max="36" width="9" bestFit="1" customWidth="1"/>
    <col min="37" max="37" width="10.42578125" bestFit="1" customWidth="1"/>
    <col min="38" max="38" width="9.5703125" bestFit="1" customWidth="1"/>
    <col min="39" max="39" width="8.7109375" bestFit="1" customWidth="1"/>
    <col min="40" max="40" width="7.5703125" bestFit="1" customWidth="1"/>
    <col min="41" max="41" width="8.28515625" bestFit="1" customWidth="1"/>
    <col min="42" max="42" width="8.5703125" bestFit="1" customWidth="1"/>
    <col min="43" max="43" width="8.7109375" bestFit="1" customWidth="1"/>
    <col min="45" max="45" width="8.140625" bestFit="1" customWidth="1"/>
    <col min="46" max="46" width="8.5703125" bestFit="1" customWidth="1"/>
    <col min="47" max="47" width="9" bestFit="1" customWidth="1"/>
    <col min="48" max="48" width="9.42578125" bestFit="1" customWidth="1"/>
    <col min="49" max="49" width="8" bestFit="1" customWidth="1"/>
    <col min="50" max="50" width="8.85546875" bestFit="1" customWidth="1"/>
    <col min="51" max="51" width="8.5703125" bestFit="1" customWidth="1"/>
    <col min="52" max="52" width="6.7109375" bestFit="1" customWidth="1"/>
    <col min="53" max="53" width="9.42578125" bestFit="1" customWidth="1"/>
    <col min="54" max="55" width="8.7109375" bestFit="1" customWidth="1"/>
    <col min="56" max="57" width="8.85546875" bestFit="1" customWidth="1"/>
    <col min="58" max="58" width="8.28515625" bestFit="1" customWidth="1"/>
    <col min="59" max="60" width="8" bestFit="1" customWidth="1"/>
    <col min="61" max="61" width="8.7109375" bestFit="1" customWidth="1"/>
    <col min="62" max="62" width="6.85546875" bestFit="1" customWidth="1"/>
    <col min="63" max="63" width="6.28515625" bestFit="1" customWidth="1"/>
    <col min="64" max="64" width="7.140625" bestFit="1" customWidth="1"/>
    <col min="65" max="65" width="8.140625" bestFit="1" customWidth="1"/>
    <col min="66" max="66" width="9" bestFit="1" customWidth="1"/>
    <col min="67" max="67" width="7.85546875" bestFit="1" customWidth="1"/>
    <col min="68" max="68" width="8.140625" bestFit="1" customWidth="1"/>
    <col min="69" max="69" width="8" bestFit="1" customWidth="1"/>
    <col min="70" max="70" width="8.42578125" bestFit="1" customWidth="1"/>
    <col min="71" max="71" width="7.85546875" bestFit="1" customWidth="1"/>
    <col min="72" max="72" width="7.28515625" bestFit="1" customWidth="1"/>
    <col min="73" max="73" width="9.5703125" bestFit="1" customWidth="1"/>
    <col min="74" max="74" width="8" bestFit="1" customWidth="1"/>
    <col min="75" max="75" width="7" bestFit="1" customWidth="1"/>
    <col min="76" max="76" width="6.85546875" bestFit="1" customWidth="1"/>
    <col min="77" max="77" width="7" bestFit="1" customWidth="1"/>
    <col min="78" max="78" width="8" bestFit="1" customWidth="1"/>
    <col min="79" max="79" width="8.28515625" bestFit="1" customWidth="1"/>
    <col min="80" max="80" width="8" bestFit="1" customWidth="1"/>
    <col min="81" max="81" width="8.7109375" bestFit="1" customWidth="1"/>
    <col min="82" max="82" width="7.85546875" bestFit="1" customWidth="1"/>
    <col min="83" max="83" width="7.28515625" bestFit="1" customWidth="1"/>
    <col min="84" max="84" width="7.7109375" bestFit="1" customWidth="1"/>
    <col min="85" max="85" width="7.28515625" bestFit="1" customWidth="1"/>
    <col min="86" max="86" width="9" bestFit="1" customWidth="1"/>
    <col min="87" max="87" width="9.85546875" bestFit="1" customWidth="1"/>
    <col min="88" max="88" width="8.5703125" bestFit="1" customWidth="1"/>
    <col min="89" max="89" width="8.140625" bestFit="1" customWidth="1"/>
    <col min="90" max="90" width="6.7109375" bestFit="1" customWidth="1"/>
    <col min="91" max="91" width="9.5703125" bestFit="1" customWidth="1"/>
    <col min="92" max="92" width="8.42578125" bestFit="1" customWidth="1"/>
    <col min="93" max="93" width="9.85546875" bestFit="1" customWidth="1"/>
    <col min="94" max="94" width="7.85546875" bestFit="1" customWidth="1"/>
    <col min="95" max="95" width="7.42578125" bestFit="1" customWidth="1"/>
    <col min="96" max="96" width="9.42578125" bestFit="1" customWidth="1"/>
    <col min="97" max="97" width="8.7109375" bestFit="1" customWidth="1"/>
    <col min="98" max="98" width="8.140625" bestFit="1" customWidth="1"/>
    <col min="99" max="99" width="7.7109375" bestFit="1" customWidth="1"/>
    <col min="100" max="100" width="8.28515625" bestFit="1" customWidth="1"/>
    <col min="101" max="101" width="8" bestFit="1" customWidth="1"/>
    <col min="102" max="102" width="9.28515625" bestFit="1" customWidth="1"/>
    <col min="103" max="103" width="8.7109375" bestFit="1" customWidth="1"/>
    <col min="104" max="104" width="9.5703125" bestFit="1" customWidth="1"/>
    <col min="105" max="105" width="7.5703125" bestFit="1" customWidth="1"/>
    <col min="106" max="106" width="9.42578125" bestFit="1" customWidth="1"/>
    <col min="107" max="107" width="8.42578125" bestFit="1" customWidth="1"/>
    <col min="108" max="108" width="7.85546875" bestFit="1" customWidth="1"/>
    <col min="109" max="109" width="9.5703125" bestFit="1" customWidth="1"/>
    <col min="110" max="111" width="9.28515625" bestFit="1" customWidth="1"/>
    <col min="112" max="112" width="8.28515625" bestFit="1" customWidth="1"/>
    <col min="113" max="113" width="8.5703125" bestFit="1" customWidth="1"/>
    <col min="114" max="114" width="9.42578125" bestFit="1" customWidth="1"/>
    <col min="115" max="115" width="8.7109375" bestFit="1" customWidth="1"/>
    <col min="116" max="116" width="9.5703125" bestFit="1" customWidth="1"/>
    <col min="117" max="117" width="8.85546875" bestFit="1" customWidth="1"/>
    <col min="118" max="118" width="9.42578125" bestFit="1" customWidth="1"/>
    <col min="119" max="119" width="9" bestFit="1" customWidth="1"/>
    <col min="120" max="120" width="8.5703125" bestFit="1" customWidth="1"/>
    <col min="121" max="121" width="9.42578125" bestFit="1" customWidth="1"/>
    <col min="122" max="122" width="7.85546875" bestFit="1" customWidth="1"/>
    <col min="124" max="124" width="9" bestFit="1" customWidth="1"/>
    <col min="125" max="125" width="8.7109375" bestFit="1" customWidth="1"/>
    <col min="126" max="126" width="8" bestFit="1" customWidth="1"/>
    <col min="127" max="127" width="7.28515625" bestFit="1" customWidth="1"/>
    <col min="128" max="128" width="9" bestFit="1" customWidth="1"/>
    <col min="129" max="129" width="8" bestFit="1" customWidth="1"/>
    <col min="130" max="130" width="8.7109375" bestFit="1" customWidth="1"/>
    <col min="131" max="131" width="7.85546875" bestFit="1" customWidth="1"/>
    <col min="132" max="133" width="8.7109375" bestFit="1" customWidth="1"/>
    <col min="134" max="134" width="8.42578125" bestFit="1" customWidth="1"/>
    <col min="135" max="135" width="8.85546875" bestFit="1" customWidth="1"/>
    <col min="136" max="136" width="8" bestFit="1" customWidth="1"/>
    <col min="137" max="137" width="9.5703125" bestFit="1" customWidth="1"/>
    <col min="138" max="138" width="8.85546875" bestFit="1" customWidth="1"/>
    <col min="139" max="139" width="8.28515625" bestFit="1" customWidth="1"/>
    <col min="140" max="140" width="8.7109375" bestFit="1" customWidth="1"/>
    <col min="141" max="141" width="7.5703125" bestFit="1" customWidth="1"/>
    <col min="142" max="142" width="10.42578125" bestFit="1" customWidth="1"/>
    <col min="143" max="143" width="8.28515625" bestFit="1" customWidth="1"/>
    <col min="144" max="144" width="7.7109375" bestFit="1" customWidth="1"/>
    <col min="145" max="145" width="8.42578125" bestFit="1" customWidth="1"/>
    <col min="146" max="146" width="9" bestFit="1" customWidth="1"/>
    <col min="147" max="147" width="8.5703125" bestFit="1" customWidth="1"/>
    <col min="148" max="148" width="8.28515625" bestFit="1" customWidth="1"/>
    <col min="149" max="149" width="8" bestFit="1" customWidth="1"/>
    <col min="150" max="150" width="7.140625" bestFit="1" customWidth="1"/>
    <col min="151" max="151" width="7.85546875" bestFit="1" customWidth="1"/>
    <col min="152" max="152" width="9.5703125" bestFit="1" customWidth="1"/>
    <col min="153" max="153" width="8.28515625" bestFit="1" customWidth="1"/>
    <col min="154" max="154" width="7.28515625" bestFit="1" customWidth="1"/>
    <col min="155" max="155" width="7.85546875" bestFit="1" customWidth="1"/>
    <col min="156" max="156" width="9" bestFit="1" customWidth="1"/>
    <col min="157" max="157" width="9.28515625" bestFit="1" customWidth="1"/>
    <col min="158" max="158" width="9" bestFit="1" customWidth="1"/>
    <col min="159" max="159" width="7.28515625" bestFit="1" customWidth="1"/>
    <col min="160" max="160" width="7.5703125" bestFit="1" customWidth="1"/>
    <col min="161" max="161" width="8.42578125" bestFit="1" customWidth="1"/>
    <col min="162" max="162" width="7.85546875" bestFit="1" customWidth="1"/>
    <col min="163" max="163" width="8" bestFit="1" customWidth="1"/>
    <col min="164" max="164" width="8.7109375" bestFit="1" customWidth="1"/>
    <col min="165" max="165" width="8.85546875" bestFit="1" customWidth="1"/>
    <col min="166" max="166" width="8" bestFit="1" customWidth="1"/>
    <col min="167" max="167" width="7.7109375" bestFit="1" customWidth="1"/>
    <col min="168" max="168" width="8.42578125" bestFit="1" customWidth="1"/>
    <col min="169" max="169" width="7.28515625" bestFit="1" customWidth="1"/>
    <col min="170" max="170" width="8" bestFit="1" customWidth="1"/>
    <col min="171" max="171" width="10.140625" bestFit="1" customWidth="1"/>
    <col min="173" max="173" width="8.7109375" bestFit="1" customWidth="1"/>
    <col min="174" max="174" width="9.28515625" bestFit="1" customWidth="1"/>
    <col min="175" max="175" width="8.42578125" bestFit="1" customWidth="1"/>
    <col min="176" max="176" width="9.7109375" bestFit="1" customWidth="1"/>
    <col min="177" max="177" width="7.5703125" bestFit="1" customWidth="1"/>
    <col min="178" max="178" width="8.5703125" bestFit="1" customWidth="1"/>
    <col min="179" max="179" width="7.85546875" bestFit="1" customWidth="1"/>
    <col min="180" max="180" width="8.5703125" bestFit="1" customWidth="1"/>
    <col min="181" max="181" width="8.42578125" bestFit="1" customWidth="1"/>
    <col min="182" max="182" width="10.28515625" bestFit="1" customWidth="1"/>
    <col min="183" max="183" width="8.140625" bestFit="1" customWidth="1"/>
    <col min="184" max="185" width="7.5703125" bestFit="1" customWidth="1"/>
    <col min="186" max="186" width="8.140625" bestFit="1" customWidth="1"/>
    <col min="187" max="187" width="8.7109375" bestFit="1" customWidth="1"/>
    <col min="188" max="188" width="7.42578125" bestFit="1" customWidth="1"/>
    <col min="189" max="189" width="7.7109375" bestFit="1" customWidth="1"/>
    <col min="190" max="190" width="9.28515625" bestFit="1" customWidth="1"/>
    <col min="191" max="191" width="9" bestFit="1" customWidth="1"/>
    <col min="192" max="192" width="8.42578125" bestFit="1" customWidth="1"/>
    <col min="193" max="193" width="7.5703125" bestFit="1" customWidth="1"/>
    <col min="194" max="194" width="9" bestFit="1" customWidth="1"/>
    <col min="195" max="195" width="7" bestFit="1" customWidth="1"/>
    <col min="196" max="196" width="8.42578125" bestFit="1" customWidth="1"/>
    <col min="197" max="197" width="7.5703125" bestFit="1" customWidth="1"/>
    <col min="198" max="198" width="8.28515625" bestFit="1" customWidth="1"/>
    <col min="199" max="199" width="8" bestFit="1" customWidth="1"/>
    <col min="200" max="200" width="8.85546875" bestFit="1" customWidth="1"/>
    <col min="201" max="201" width="11.7109375" bestFit="1" customWidth="1"/>
  </cols>
  <sheetData>
    <row r="1" spans="1:14" ht="32.2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2.2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9" t="s">
        <v>0</v>
      </c>
      <c r="B3" s="2" t="s">
        <v>1</v>
      </c>
      <c r="C3" s="11"/>
      <c r="D3" s="9" t="s">
        <v>0</v>
      </c>
      <c r="E3" s="2" t="s">
        <v>1</v>
      </c>
      <c r="F3" s="11"/>
      <c r="G3" s="9" t="s">
        <v>0</v>
      </c>
      <c r="H3" s="10" t="s">
        <v>2</v>
      </c>
      <c r="I3" s="11"/>
      <c r="J3" s="9" t="s">
        <v>0</v>
      </c>
      <c r="K3" s="10" t="s">
        <v>3</v>
      </c>
      <c r="L3" s="11"/>
      <c r="M3" s="11"/>
      <c r="N3" s="11"/>
    </row>
    <row r="4" spans="1:14">
      <c r="A4" s="2" t="s">
        <v>4</v>
      </c>
      <c r="B4" s="12">
        <v>614</v>
      </c>
      <c r="C4" s="11"/>
      <c r="D4" s="2" t="s">
        <v>5</v>
      </c>
      <c r="E4" s="12">
        <v>379</v>
      </c>
      <c r="F4" s="11"/>
      <c r="G4" s="2" t="s">
        <v>4</v>
      </c>
      <c r="H4" s="12">
        <v>122.8</v>
      </c>
      <c r="I4" s="11"/>
      <c r="J4" s="2" t="s">
        <v>5</v>
      </c>
      <c r="K4" s="4">
        <v>0.24199999999999999</v>
      </c>
      <c r="L4" s="11"/>
      <c r="M4" s="11"/>
      <c r="N4" s="11"/>
    </row>
    <row r="5" spans="1:14">
      <c r="A5" s="2" t="s">
        <v>6</v>
      </c>
      <c r="B5" s="12">
        <v>588</v>
      </c>
      <c r="C5" s="11"/>
      <c r="D5" s="2" t="s">
        <v>7</v>
      </c>
      <c r="E5" s="12">
        <v>385</v>
      </c>
      <c r="F5" s="11"/>
      <c r="G5" s="2" t="s">
        <v>6</v>
      </c>
      <c r="H5" s="12">
        <v>117.6</v>
      </c>
      <c r="I5" s="11"/>
      <c r="J5" s="2" t="s">
        <v>7</v>
      </c>
      <c r="K5" s="4">
        <v>0.23</v>
      </c>
      <c r="L5" s="11"/>
      <c r="M5" s="11"/>
      <c r="N5" s="11"/>
    </row>
    <row r="6" spans="1:14">
      <c r="A6" s="2" t="s">
        <v>8</v>
      </c>
      <c r="B6" s="12">
        <v>570</v>
      </c>
      <c r="C6" s="11"/>
      <c r="D6" s="2" t="s">
        <v>9</v>
      </c>
      <c r="E6" s="12">
        <v>386</v>
      </c>
      <c r="F6" s="11"/>
      <c r="G6" s="2" t="s">
        <v>8</v>
      </c>
      <c r="H6" s="12">
        <v>114</v>
      </c>
      <c r="I6" s="11"/>
      <c r="J6" s="2" t="s">
        <v>9</v>
      </c>
      <c r="K6" s="4">
        <v>0.22800000000000001</v>
      </c>
      <c r="L6" s="11"/>
      <c r="M6" s="11"/>
      <c r="N6" s="11"/>
    </row>
    <row r="7" spans="1:14">
      <c r="A7" s="2" t="s">
        <v>10</v>
      </c>
      <c r="B7" s="12">
        <v>618</v>
      </c>
      <c r="C7" s="11"/>
      <c r="D7" s="2" t="s">
        <v>11</v>
      </c>
      <c r="E7" s="12">
        <v>335</v>
      </c>
      <c r="F7" s="11"/>
      <c r="G7" s="2" t="s">
        <v>10</v>
      </c>
      <c r="H7" s="12">
        <v>123.6</v>
      </c>
      <c r="I7" s="11"/>
      <c r="J7" s="2" t="s">
        <v>11</v>
      </c>
      <c r="K7" s="4">
        <v>0.33</v>
      </c>
      <c r="L7" s="11"/>
      <c r="M7" s="11"/>
      <c r="N7" s="11"/>
    </row>
    <row r="8" spans="1:14">
      <c r="A8" s="2" t="s">
        <v>12</v>
      </c>
      <c r="B8" s="12">
        <v>570</v>
      </c>
      <c r="C8" s="11"/>
      <c r="D8" s="2" t="s">
        <v>13</v>
      </c>
      <c r="E8" s="12">
        <v>315</v>
      </c>
      <c r="F8" s="11"/>
      <c r="G8" s="2" t="s">
        <v>12</v>
      </c>
      <c r="H8" s="12">
        <v>114</v>
      </c>
      <c r="I8" s="11"/>
      <c r="J8" s="2" t="s">
        <v>13</v>
      </c>
      <c r="K8" s="4">
        <v>0.37</v>
      </c>
      <c r="L8" s="11"/>
      <c r="M8" s="11"/>
      <c r="N8" s="11"/>
    </row>
    <row r="9" spans="1:14">
      <c r="A9" s="2" t="s">
        <v>14</v>
      </c>
      <c r="B9" s="12">
        <v>2960</v>
      </c>
      <c r="C9" s="11"/>
      <c r="D9" s="2" t="s">
        <v>14</v>
      </c>
      <c r="E9" s="12">
        <v>1800</v>
      </c>
      <c r="F9" s="11"/>
      <c r="I9" s="11"/>
      <c r="J9" s="11"/>
      <c r="K9" s="11"/>
      <c r="L9" s="11"/>
      <c r="M9" s="11"/>
      <c r="N9" s="11"/>
    </row>
    <row r="10" spans="1:14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14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1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14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14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opLeftCell="A34" workbookViewId="0">
      <selection activeCell="K51" sqref="K51"/>
    </sheetView>
  </sheetViews>
  <sheetFormatPr defaultRowHeight="15"/>
  <cols>
    <col min="1" max="1" width="13.140625" customWidth="1"/>
    <col min="2" max="2" width="17.7109375" customWidth="1"/>
    <col min="9" max="9" width="11.5703125" customWidth="1"/>
    <col min="11" max="11" width="14.42578125" customWidth="1"/>
    <col min="12" max="12" width="16.7109375" customWidth="1"/>
    <col min="13" max="13" width="18.140625" style="5" customWidth="1"/>
  </cols>
  <sheetData>
    <row r="1" spans="1:14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7" t="s">
        <v>25</v>
      </c>
      <c r="M1" s="3" t="s">
        <v>26</v>
      </c>
    </row>
    <row r="2" spans="1:14">
      <c r="A2" s="2" t="s">
        <v>27</v>
      </c>
      <c r="B2" s="2" t="s">
        <v>28</v>
      </c>
      <c r="C2" s="2" t="s">
        <v>29</v>
      </c>
      <c r="D2" s="2">
        <v>132</v>
      </c>
      <c r="E2" s="2">
        <v>98</v>
      </c>
      <c r="F2" s="2">
        <v>102</v>
      </c>
      <c r="G2" s="2">
        <v>114</v>
      </c>
      <c r="H2" s="2">
        <v>148</v>
      </c>
      <c r="I2" s="2">
        <v>594</v>
      </c>
      <c r="J2" s="2">
        <v>500</v>
      </c>
      <c r="K2" s="2">
        <v>118.8</v>
      </c>
      <c r="L2" s="8">
        <v>-94</v>
      </c>
      <c r="M2" s="4">
        <f>MAX(0,L2/J2)</f>
        <v>0</v>
      </c>
    </row>
    <row r="3" spans="1:14">
      <c r="A3" s="2" t="s">
        <v>30</v>
      </c>
      <c r="B3" s="2" t="s">
        <v>31</v>
      </c>
      <c r="C3" s="2" t="s">
        <v>32</v>
      </c>
      <c r="D3" s="2">
        <v>88</v>
      </c>
      <c r="E3" s="2">
        <v>73</v>
      </c>
      <c r="F3" s="2">
        <v>63</v>
      </c>
      <c r="G3" s="2">
        <v>74</v>
      </c>
      <c r="H3" s="2">
        <v>82</v>
      </c>
      <c r="I3" s="2">
        <v>380</v>
      </c>
      <c r="J3" s="2">
        <v>500</v>
      </c>
      <c r="K3" s="2">
        <v>76</v>
      </c>
      <c r="L3" s="8">
        <v>120</v>
      </c>
      <c r="M3" s="4">
        <f t="shared" ref="M3:M66" si="0">MAX(0,L3/J3)</f>
        <v>0.24</v>
      </c>
    </row>
    <row r="4" spans="1:14">
      <c r="A4" s="2" t="s">
        <v>33</v>
      </c>
      <c r="B4" s="2" t="s">
        <v>34</v>
      </c>
      <c r="C4" s="2" t="s">
        <v>32</v>
      </c>
      <c r="D4" s="2">
        <v>78</v>
      </c>
      <c r="E4" s="2">
        <v>66</v>
      </c>
      <c r="F4" s="2">
        <v>106</v>
      </c>
      <c r="G4" s="2">
        <v>110</v>
      </c>
      <c r="H4" s="2">
        <v>68</v>
      </c>
      <c r="I4" s="2">
        <v>428</v>
      </c>
      <c r="J4" s="2">
        <v>500</v>
      </c>
      <c r="K4" s="2">
        <v>85.6</v>
      </c>
      <c r="L4" s="8">
        <v>72</v>
      </c>
      <c r="M4" s="4">
        <f t="shared" si="0"/>
        <v>0.14399999999999999</v>
      </c>
    </row>
    <row r="5" spans="1:14">
      <c r="A5" s="2" t="s">
        <v>35</v>
      </c>
      <c r="B5" s="2" t="s">
        <v>36</v>
      </c>
      <c r="C5" s="2" t="s">
        <v>29</v>
      </c>
      <c r="D5" s="2">
        <v>42</v>
      </c>
      <c r="E5" s="2">
        <v>78</v>
      </c>
      <c r="F5" s="2">
        <v>93</v>
      </c>
      <c r="G5" s="2">
        <v>111</v>
      </c>
      <c r="H5" s="2">
        <v>124</v>
      </c>
      <c r="I5" s="2">
        <v>448</v>
      </c>
      <c r="J5" s="2">
        <v>500</v>
      </c>
      <c r="K5" s="2">
        <v>89.6</v>
      </c>
      <c r="L5" s="8">
        <v>52</v>
      </c>
      <c r="M5" s="4">
        <f t="shared" si="0"/>
        <v>0.104</v>
      </c>
    </row>
    <row r="6" spans="1:14">
      <c r="A6" s="2" t="s">
        <v>37</v>
      </c>
      <c r="B6" s="2" t="s">
        <v>38</v>
      </c>
      <c r="C6" s="2" t="s">
        <v>39</v>
      </c>
      <c r="D6" s="2">
        <v>108</v>
      </c>
      <c r="E6" s="2">
        <v>42</v>
      </c>
      <c r="F6" s="2">
        <v>122</v>
      </c>
      <c r="G6" s="2">
        <v>147</v>
      </c>
      <c r="H6" s="2">
        <v>69</v>
      </c>
      <c r="I6" s="2">
        <v>488</v>
      </c>
      <c r="J6" s="2">
        <v>500</v>
      </c>
      <c r="K6" s="2">
        <v>97.6</v>
      </c>
      <c r="L6" s="8">
        <v>12</v>
      </c>
      <c r="M6" s="4">
        <f t="shared" si="0"/>
        <v>2.4E-2</v>
      </c>
    </row>
    <row r="7" spans="1:14">
      <c r="A7" s="2" t="s">
        <v>40</v>
      </c>
      <c r="B7" s="2" t="s">
        <v>41</v>
      </c>
      <c r="C7" s="2" t="s">
        <v>32</v>
      </c>
      <c r="D7" s="2">
        <v>63</v>
      </c>
      <c r="E7" s="2">
        <v>140</v>
      </c>
      <c r="F7" s="2">
        <v>113</v>
      </c>
      <c r="G7" s="2">
        <v>40</v>
      </c>
      <c r="H7" s="2">
        <v>53</v>
      </c>
      <c r="I7" s="2">
        <v>409</v>
      </c>
      <c r="J7" s="2">
        <v>500</v>
      </c>
      <c r="K7" s="2">
        <v>81.8</v>
      </c>
      <c r="L7" s="8">
        <v>91</v>
      </c>
      <c r="M7" s="4">
        <f t="shared" si="0"/>
        <v>0.182</v>
      </c>
    </row>
    <row r="8" spans="1:14">
      <c r="A8" s="2" t="s">
        <v>42</v>
      </c>
      <c r="B8" s="2" t="s">
        <v>43</v>
      </c>
      <c r="C8" s="2" t="s">
        <v>39</v>
      </c>
      <c r="D8" s="2">
        <v>62</v>
      </c>
      <c r="E8" s="2">
        <v>89</v>
      </c>
      <c r="F8" s="2">
        <v>134</v>
      </c>
      <c r="G8" s="2">
        <v>126</v>
      </c>
      <c r="H8" s="2">
        <v>74</v>
      </c>
      <c r="I8" s="2">
        <v>485</v>
      </c>
      <c r="J8" s="2">
        <v>500</v>
      </c>
      <c r="K8" s="2">
        <v>97</v>
      </c>
      <c r="L8" s="8">
        <v>15</v>
      </c>
      <c r="M8" s="4">
        <f t="shared" si="0"/>
        <v>0.03</v>
      </c>
    </row>
    <row r="9" spans="1:14">
      <c r="A9" s="2" t="s">
        <v>44</v>
      </c>
      <c r="B9" s="2" t="s">
        <v>45</v>
      </c>
      <c r="C9" s="2" t="s">
        <v>46</v>
      </c>
      <c r="D9" s="2">
        <v>123</v>
      </c>
      <c r="E9" s="2">
        <v>125</v>
      </c>
      <c r="F9" s="2">
        <v>147</v>
      </c>
      <c r="G9" s="2">
        <v>73</v>
      </c>
      <c r="H9" s="2">
        <v>72</v>
      </c>
      <c r="I9" s="2">
        <v>540</v>
      </c>
      <c r="J9" s="2">
        <v>500</v>
      </c>
      <c r="K9" s="2">
        <v>108</v>
      </c>
      <c r="L9" s="8">
        <v>-40</v>
      </c>
      <c r="M9" s="4">
        <f t="shared" si="0"/>
        <v>0</v>
      </c>
    </row>
    <row r="10" spans="1:14">
      <c r="A10" s="2" t="s">
        <v>47</v>
      </c>
      <c r="B10" s="2" t="s">
        <v>48</v>
      </c>
      <c r="C10" s="2" t="s">
        <v>29</v>
      </c>
      <c r="D10" s="2">
        <v>133</v>
      </c>
      <c r="E10" s="2">
        <v>53</v>
      </c>
      <c r="F10" s="2">
        <v>138</v>
      </c>
      <c r="G10" s="2">
        <v>141</v>
      </c>
      <c r="H10" s="2">
        <v>97</v>
      </c>
      <c r="I10" s="2">
        <v>562</v>
      </c>
      <c r="J10" s="2">
        <v>500</v>
      </c>
      <c r="K10" s="2">
        <v>112.4</v>
      </c>
      <c r="L10" s="8">
        <v>-62</v>
      </c>
      <c r="M10" s="4">
        <f t="shared" si="0"/>
        <v>0</v>
      </c>
      <c r="N10" s="6"/>
    </row>
    <row r="11" spans="1:14">
      <c r="A11" s="2" t="s">
        <v>49</v>
      </c>
      <c r="B11" s="2" t="s">
        <v>50</v>
      </c>
      <c r="C11" s="2" t="s">
        <v>39</v>
      </c>
      <c r="D11" s="2">
        <v>87</v>
      </c>
      <c r="E11" s="2">
        <v>60</v>
      </c>
      <c r="F11" s="2">
        <v>75</v>
      </c>
      <c r="G11" s="2">
        <v>83</v>
      </c>
      <c r="H11" s="2">
        <v>78</v>
      </c>
      <c r="I11" s="2">
        <v>383</v>
      </c>
      <c r="J11" s="2">
        <v>500</v>
      </c>
      <c r="K11" s="2">
        <v>76.599999999999994</v>
      </c>
      <c r="L11" s="8">
        <v>117</v>
      </c>
      <c r="M11" s="4">
        <f t="shared" si="0"/>
        <v>0.23400000000000001</v>
      </c>
    </row>
    <row r="12" spans="1:14">
      <c r="A12" s="2" t="s">
        <v>51</v>
      </c>
      <c r="B12" s="2" t="s">
        <v>52</v>
      </c>
      <c r="C12" s="2" t="s">
        <v>32</v>
      </c>
      <c r="D12" s="2">
        <v>125</v>
      </c>
      <c r="E12" s="2">
        <v>96</v>
      </c>
      <c r="F12" s="2">
        <v>50</v>
      </c>
      <c r="G12" s="2">
        <v>99</v>
      </c>
      <c r="H12" s="2">
        <v>58</v>
      </c>
      <c r="I12" s="2">
        <v>428</v>
      </c>
      <c r="J12" s="2">
        <v>500</v>
      </c>
      <c r="K12" s="2">
        <v>85.6</v>
      </c>
      <c r="L12" s="8">
        <v>72</v>
      </c>
      <c r="M12" s="4">
        <f t="shared" si="0"/>
        <v>0.14399999999999999</v>
      </c>
    </row>
    <row r="13" spans="1:14">
      <c r="A13" s="2" t="s">
        <v>53</v>
      </c>
      <c r="B13" s="2" t="s">
        <v>54</v>
      </c>
      <c r="C13" s="2" t="s">
        <v>32</v>
      </c>
      <c r="D13" s="2">
        <v>60</v>
      </c>
      <c r="E13" s="2">
        <v>40</v>
      </c>
      <c r="F13" s="2">
        <v>107</v>
      </c>
      <c r="G13" s="2">
        <v>48</v>
      </c>
      <c r="H13" s="2">
        <v>125</v>
      </c>
      <c r="I13" s="2">
        <v>380</v>
      </c>
      <c r="J13" s="2">
        <v>500</v>
      </c>
      <c r="K13" s="2">
        <v>76</v>
      </c>
      <c r="L13" s="8">
        <v>120</v>
      </c>
      <c r="M13" s="4">
        <f t="shared" si="0"/>
        <v>0.24</v>
      </c>
    </row>
    <row r="14" spans="1:14">
      <c r="A14" s="2" t="s">
        <v>55</v>
      </c>
      <c r="B14" s="2" t="s">
        <v>56</v>
      </c>
      <c r="C14" s="2" t="s">
        <v>32</v>
      </c>
      <c r="D14" s="2">
        <v>112</v>
      </c>
      <c r="E14" s="2">
        <v>71</v>
      </c>
      <c r="F14" s="2">
        <v>135</v>
      </c>
      <c r="G14" s="2">
        <v>85</v>
      </c>
      <c r="H14" s="2">
        <v>123</v>
      </c>
      <c r="I14" s="2">
        <v>526</v>
      </c>
      <c r="J14" s="2">
        <v>500</v>
      </c>
      <c r="K14" s="2">
        <v>105.2</v>
      </c>
      <c r="L14" s="8">
        <v>-26</v>
      </c>
      <c r="M14" s="4">
        <f t="shared" si="0"/>
        <v>0</v>
      </c>
    </row>
    <row r="15" spans="1:14">
      <c r="A15" s="2" t="s">
        <v>57</v>
      </c>
      <c r="B15" s="2" t="s">
        <v>58</v>
      </c>
      <c r="C15" s="2" t="s">
        <v>32</v>
      </c>
      <c r="D15" s="2">
        <v>46</v>
      </c>
      <c r="E15" s="2">
        <v>121</v>
      </c>
      <c r="F15" s="2">
        <v>61</v>
      </c>
      <c r="G15" s="2">
        <v>64</v>
      </c>
      <c r="H15" s="2">
        <v>45</v>
      </c>
      <c r="I15" s="2">
        <v>337</v>
      </c>
      <c r="J15" s="2">
        <v>500</v>
      </c>
      <c r="K15" s="2">
        <v>67.400000000000006</v>
      </c>
      <c r="L15" s="8">
        <v>163</v>
      </c>
      <c r="M15" s="4">
        <f t="shared" si="0"/>
        <v>0.32600000000000001</v>
      </c>
    </row>
    <row r="16" spans="1:14">
      <c r="A16" s="2" t="s">
        <v>59</v>
      </c>
      <c r="B16" s="2" t="s">
        <v>60</v>
      </c>
      <c r="C16" s="2" t="s">
        <v>39</v>
      </c>
      <c r="D16" s="2">
        <v>55</v>
      </c>
      <c r="E16" s="2">
        <v>95</v>
      </c>
      <c r="F16" s="2">
        <v>63</v>
      </c>
      <c r="G16" s="2">
        <v>124</v>
      </c>
      <c r="H16" s="2">
        <v>137</v>
      </c>
      <c r="I16" s="2">
        <v>474</v>
      </c>
      <c r="J16" s="2">
        <v>500</v>
      </c>
      <c r="K16" s="2">
        <v>94.8</v>
      </c>
      <c r="L16" s="8">
        <v>26</v>
      </c>
      <c r="M16" s="4">
        <f t="shared" si="0"/>
        <v>5.1999999999999998E-2</v>
      </c>
    </row>
    <row r="17" spans="1:13">
      <c r="A17" s="2" t="s">
        <v>61</v>
      </c>
      <c r="B17" s="2" t="s">
        <v>62</v>
      </c>
      <c r="C17" s="2" t="s">
        <v>39</v>
      </c>
      <c r="D17" s="2">
        <v>92</v>
      </c>
      <c r="E17" s="2">
        <v>148</v>
      </c>
      <c r="F17" s="2">
        <v>121</v>
      </c>
      <c r="G17" s="2">
        <v>83</v>
      </c>
      <c r="H17" s="2">
        <v>147</v>
      </c>
      <c r="I17" s="2">
        <v>591</v>
      </c>
      <c r="J17" s="2">
        <v>500</v>
      </c>
      <c r="K17" s="2">
        <v>118.2</v>
      </c>
      <c r="L17" s="8">
        <v>-91</v>
      </c>
      <c r="M17" s="4">
        <f t="shared" si="0"/>
        <v>0</v>
      </c>
    </row>
    <row r="18" spans="1:13">
      <c r="A18" s="2" t="s">
        <v>63</v>
      </c>
      <c r="B18" s="2" t="s">
        <v>64</v>
      </c>
      <c r="C18" s="2" t="s">
        <v>46</v>
      </c>
      <c r="D18" s="2">
        <v>150</v>
      </c>
      <c r="E18" s="2">
        <v>93</v>
      </c>
      <c r="F18" s="2">
        <v>141</v>
      </c>
      <c r="G18" s="2">
        <v>94</v>
      </c>
      <c r="H18" s="2">
        <v>125</v>
      </c>
      <c r="I18" s="2">
        <v>603</v>
      </c>
      <c r="J18" s="2">
        <v>500</v>
      </c>
      <c r="K18" s="2">
        <v>120.6</v>
      </c>
      <c r="L18" s="8">
        <v>-103</v>
      </c>
      <c r="M18" s="4">
        <f t="shared" si="0"/>
        <v>0</v>
      </c>
    </row>
    <row r="19" spans="1:13">
      <c r="A19" s="2" t="s">
        <v>65</v>
      </c>
      <c r="B19" s="2" t="s">
        <v>66</v>
      </c>
      <c r="C19" s="2" t="s">
        <v>67</v>
      </c>
      <c r="D19" s="2">
        <v>49</v>
      </c>
      <c r="E19" s="2">
        <v>127</v>
      </c>
      <c r="F19" s="2">
        <v>103</v>
      </c>
      <c r="G19" s="2">
        <v>47</v>
      </c>
      <c r="H19" s="2">
        <v>70</v>
      </c>
      <c r="I19" s="2">
        <v>396</v>
      </c>
      <c r="J19" s="2">
        <v>500</v>
      </c>
      <c r="K19" s="2">
        <v>79.2</v>
      </c>
      <c r="L19" s="8">
        <v>104</v>
      </c>
      <c r="M19" s="4">
        <f t="shared" si="0"/>
        <v>0.20799999999999999</v>
      </c>
    </row>
    <row r="20" spans="1:13">
      <c r="A20" s="2" t="s">
        <v>68</v>
      </c>
      <c r="B20" s="2" t="s">
        <v>69</v>
      </c>
      <c r="C20" s="2" t="s">
        <v>46</v>
      </c>
      <c r="D20" s="2">
        <v>136</v>
      </c>
      <c r="E20" s="2">
        <v>80</v>
      </c>
      <c r="F20" s="2">
        <v>123</v>
      </c>
      <c r="G20" s="2">
        <v>92</v>
      </c>
      <c r="H20" s="2">
        <v>74</v>
      </c>
      <c r="I20" s="2">
        <v>505</v>
      </c>
      <c r="J20" s="2">
        <v>500</v>
      </c>
      <c r="K20" s="2">
        <v>101</v>
      </c>
      <c r="L20" s="8">
        <v>-5</v>
      </c>
      <c r="M20" s="4">
        <f t="shared" si="0"/>
        <v>0</v>
      </c>
    </row>
    <row r="21" spans="1:13">
      <c r="A21" s="2" t="s">
        <v>70</v>
      </c>
      <c r="B21" s="2" t="s">
        <v>71</v>
      </c>
      <c r="C21" s="2" t="s">
        <v>29</v>
      </c>
      <c r="D21" s="2">
        <v>77</v>
      </c>
      <c r="E21" s="2">
        <v>58</v>
      </c>
      <c r="F21" s="2">
        <v>79</v>
      </c>
      <c r="G21" s="2">
        <v>58</v>
      </c>
      <c r="H21" s="2">
        <v>101</v>
      </c>
      <c r="I21" s="2">
        <v>373</v>
      </c>
      <c r="J21" s="2">
        <v>500</v>
      </c>
      <c r="K21" s="2">
        <v>74.599999999999994</v>
      </c>
      <c r="L21" s="8">
        <v>127</v>
      </c>
      <c r="M21" s="4">
        <f t="shared" si="0"/>
        <v>0.254</v>
      </c>
    </row>
    <row r="22" spans="1:13">
      <c r="A22" s="2" t="s">
        <v>72</v>
      </c>
      <c r="B22" s="2" t="s">
        <v>73</v>
      </c>
      <c r="C22" s="2" t="s">
        <v>39</v>
      </c>
      <c r="D22" s="2">
        <v>142</v>
      </c>
      <c r="E22" s="2">
        <v>62</v>
      </c>
      <c r="F22" s="2">
        <v>47</v>
      </c>
      <c r="G22" s="2">
        <v>93</v>
      </c>
      <c r="H22" s="2">
        <v>137</v>
      </c>
      <c r="I22" s="2">
        <v>481</v>
      </c>
      <c r="J22" s="2">
        <v>500</v>
      </c>
      <c r="K22" s="2">
        <v>96.2</v>
      </c>
      <c r="L22" s="8">
        <v>19</v>
      </c>
      <c r="M22" s="4">
        <f t="shared" si="0"/>
        <v>3.7999999999999999E-2</v>
      </c>
    </row>
    <row r="23" spans="1:13">
      <c r="A23" s="2" t="s">
        <v>74</v>
      </c>
      <c r="B23" s="2" t="s">
        <v>13</v>
      </c>
      <c r="C23" s="2" t="s">
        <v>67</v>
      </c>
      <c r="D23" s="2">
        <v>65</v>
      </c>
      <c r="E23" s="2">
        <v>45</v>
      </c>
      <c r="F23" s="2">
        <v>44</v>
      </c>
      <c r="G23" s="2">
        <v>72</v>
      </c>
      <c r="H23" s="2">
        <v>89</v>
      </c>
      <c r="I23" s="2">
        <v>315</v>
      </c>
      <c r="J23" s="2">
        <v>500</v>
      </c>
      <c r="K23" s="2">
        <v>63</v>
      </c>
      <c r="L23" s="8">
        <v>185</v>
      </c>
      <c r="M23" s="4">
        <f t="shared" si="0"/>
        <v>0.37</v>
      </c>
    </row>
    <row r="24" spans="1:13">
      <c r="A24" s="2" t="s">
        <v>75</v>
      </c>
      <c r="B24" s="2" t="s">
        <v>76</v>
      </c>
      <c r="C24" s="2" t="s">
        <v>29</v>
      </c>
      <c r="D24" s="2">
        <v>50</v>
      </c>
      <c r="E24" s="2">
        <v>119</v>
      </c>
      <c r="F24" s="2">
        <v>83</v>
      </c>
      <c r="G24" s="2">
        <v>124</v>
      </c>
      <c r="H24" s="2">
        <v>73</v>
      </c>
      <c r="I24" s="2">
        <v>449</v>
      </c>
      <c r="J24" s="2">
        <v>500</v>
      </c>
      <c r="K24" s="2">
        <v>89.8</v>
      </c>
      <c r="L24" s="8">
        <v>51</v>
      </c>
      <c r="M24" s="4">
        <f t="shared" si="0"/>
        <v>0.10199999999999999</v>
      </c>
    </row>
    <row r="25" spans="1:13">
      <c r="A25" s="2" t="s">
        <v>77</v>
      </c>
      <c r="B25" s="2" t="s">
        <v>78</v>
      </c>
      <c r="C25" s="2" t="s">
        <v>32</v>
      </c>
      <c r="D25" s="2">
        <v>94</v>
      </c>
      <c r="E25" s="2">
        <v>50</v>
      </c>
      <c r="F25" s="2">
        <v>72</v>
      </c>
      <c r="G25" s="2">
        <v>103</v>
      </c>
      <c r="H25" s="2">
        <v>73</v>
      </c>
      <c r="I25" s="2">
        <v>392</v>
      </c>
      <c r="J25" s="2">
        <v>500</v>
      </c>
      <c r="K25" s="2">
        <v>78.400000000000006</v>
      </c>
      <c r="L25" s="8">
        <v>108</v>
      </c>
      <c r="M25" s="4">
        <f t="shared" si="0"/>
        <v>0.216</v>
      </c>
    </row>
    <row r="26" spans="1:13">
      <c r="A26" s="2" t="s">
        <v>79</v>
      </c>
      <c r="B26" s="2" t="s">
        <v>80</v>
      </c>
      <c r="C26" s="2" t="s">
        <v>29</v>
      </c>
      <c r="D26" s="2">
        <v>145</v>
      </c>
      <c r="E26" s="2">
        <v>121</v>
      </c>
      <c r="F26" s="2">
        <v>72</v>
      </c>
      <c r="G26" s="2">
        <v>73</v>
      </c>
      <c r="H26" s="2">
        <v>57</v>
      </c>
      <c r="I26" s="2">
        <v>468</v>
      </c>
      <c r="J26" s="2">
        <v>500</v>
      </c>
      <c r="K26" s="2">
        <v>93.6</v>
      </c>
      <c r="L26" s="8">
        <v>32</v>
      </c>
      <c r="M26" s="4">
        <f t="shared" si="0"/>
        <v>6.4000000000000001E-2</v>
      </c>
    </row>
    <row r="27" spans="1:13">
      <c r="A27" s="2" t="s">
        <v>81</v>
      </c>
      <c r="B27" s="2" t="s">
        <v>82</v>
      </c>
      <c r="C27" s="2" t="s">
        <v>32</v>
      </c>
      <c r="D27" s="2">
        <v>90</v>
      </c>
      <c r="E27" s="2">
        <v>138</v>
      </c>
      <c r="F27" s="2">
        <v>55</v>
      </c>
      <c r="G27" s="2">
        <v>56</v>
      </c>
      <c r="H27" s="2">
        <v>118</v>
      </c>
      <c r="I27" s="2">
        <v>457</v>
      </c>
      <c r="J27" s="2">
        <v>500</v>
      </c>
      <c r="K27" s="2">
        <v>91.4</v>
      </c>
      <c r="L27" s="8">
        <v>43</v>
      </c>
      <c r="M27" s="4">
        <f t="shared" si="0"/>
        <v>8.5999999999999993E-2</v>
      </c>
    </row>
    <row r="28" spans="1:13">
      <c r="A28" s="2" t="s">
        <v>83</v>
      </c>
      <c r="B28" s="2" t="s">
        <v>84</v>
      </c>
      <c r="C28" s="2" t="s">
        <v>67</v>
      </c>
      <c r="D28" s="2">
        <v>45</v>
      </c>
      <c r="E28" s="2">
        <v>105</v>
      </c>
      <c r="F28" s="2">
        <v>106</v>
      </c>
      <c r="G28" s="2">
        <v>137</v>
      </c>
      <c r="H28" s="2">
        <v>146</v>
      </c>
      <c r="I28" s="2">
        <v>539</v>
      </c>
      <c r="J28" s="2">
        <v>500</v>
      </c>
      <c r="K28" s="2">
        <v>107.8</v>
      </c>
      <c r="L28" s="8">
        <v>-39</v>
      </c>
      <c r="M28" s="4">
        <f t="shared" si="0"/>
        <v>0</v>
      </c>
    </row>
    <row r="29" spans="1:13">
      <c r="A29" s="2" t="s">
        <v>85</v>
      </c>
      <c r="B29" s="2" t="s">
        <v>86</v>
      </c>
      <c r="C29" s="2" t="s">
        <v>32</v>
      </c>
      <c r="D29" s="2">
        <v>46</v>
      </c>
      <c r="E29" s="2">
        <v>145</v>
      </c>
      <c r="F29" s="2">
        <v>148</v>
      </c>
      <c r="G29" s="2">
        <v>109</v>
      </c>
      <c r="H29" s="2">
        <v>67</v>
      </c>
      <c r="I29" s="2">
        <v>515</v>
      </c>
      <c r="J29" s="2">
        <v>500</v>
      </c>
      <c r="K29" s="2">
        <v>103</v>
      </c>
      <c r="L29" s="8">
        <v>-15</v>
      </c>
      <c r="M29" s="4">
        <f t="shared" si="0"/>
        <v>0</v>
      </c>
    </row>
    <row r="30" spans="1:13">
      <c r="A30" s="2" t="s">
        <v>87</v>
      </c>
      <c r="B30" s="2" t="s">
        <v>88</v>
      </c>
      <c r="C30" s="2" t="s">
        <v>67</v>
      </c>
      <c r="D30" s="2">
        <v>49</v>
      </c>
      <c r="E30" s="2">
        <v>135</v>
      </c>
      <c r="F30" s="2">
        <v>56</v>
      </c>
      <c r="G30" s="2">
        <v>141</v>
      </c>
      <c r="H30" s="2">
        <v>94</v>
      </c>
      <c r="I30" s="2">
        <v>475</v>
      </c>
      <c r="J30" s="2">
        <v>500</v>
      </c>
      <c r="K30" s="2">
        <v>95</v>
      </c>
      <c r="L30" s="8">
        <v>25</v>
      </c>
      <c r="M30" s="4">
        <f t="shared" si="0"/>
        <v>0.05</v>
      </c>
    </row>
    <row r="31" spans="1:13">
      <c r="A31" s="2" t="s">
        <v>89</v>
      </c>
      <c r="B31" s="2" t="s">
        <v>90</v>
      </c>
      <c r="C31" s="2" t="s">
        <v>46</v>
      </c>
      <c r="D31" s="2">
        <v>62</v>
      </c>
      <c r="E31" s="2">
        <v>57</v>
      </c>
      <c r="F31" s="2">
        <v>111</v>
      </c>
      <c r="G31" s="2">
        <v>76</v>
      </c>
      <c r="H31" s="2">
        <v>105</v>
      </c>
      <c r="I31" s="2">
        <v>411</v>
      </c>
      <c r="J31" s="2">
        <v>500</v>
      </c>
      <c r="K31" s="2">
        <v>82.2</v>
      </c>
      <c r="L31" s="8">
        <v>89</v>
      </c>
      <c r="M31" s="4">
        <f t="shared" si="0"/>
        <v>0.17799999999999999</v>
      </c>
    </row>
    <row r="32" spans="1:13">
      <c r="A32" s="2" t="s">
        <v>91</v>
      </c>
      <c r="B32" s="2" t="s">
        <v>92</v>
      </c>
      <c r="C32" s="2" t="s">
        <v>32</v>
      </c>
      <c r="D32" s="2">
        <v>104</v>
      </c>
      <c r="E32" s="2">
        <v>118</v>
      </c>
      <c r="F32" s="2">
        <v>147</v>
      </c>
      <c r="G32" s="2">
        <v>65</v>
      </c>
      <c r="H32" s="2">
        <v>125</v>
      </c>
      <c r="I32" s="2">
        <v>559</v>
      </c>
      <c r="J32" s="2">
        <v>500</v>
      </c>
      <c r="K32" s="2">
        <v>111.8</v>
      </c>
      <c r="L32" s="8">
        <v>-59</v>
      </c>
      <c r="M32" s="4">
        <f t="shared" si="0"/>
        <v>0</v>
      </c>
    </row>
    <row r="33" spans="1:13">
      <c r="A33" s="2" t="s">
        <v>93</v>
      </c>
      <c r="B33" s="2" t="s">
        <v>94</v>
      </c>
      <c r="C33" s="2" t="s">
        <v>67</v>
      </c>
      <c r="D33" s="2">
        <v>115</v>
      </c>
      <c r="E33" s="2">
        <v>90</v>
      </c>
      <c r="F33" s="2">
        <v>132</v>
      </c>
      <c r="G33" s="2">
        <v>87</v>
      </c>
      <c r="H33" s="2">
        <v>66</v>
      </c>
      <c r="I33" s="2">
        <v>490</v>
      </c>
      <c r="J33" s="2">
        <v>500</v>
      </c>
      <c r="K33" s="2">
        <v>98</v>
      </c>
      <c r="L33" s="8">
        <v>10</v>
      </c>
      <c r="M33" s="4">
        <f t="shared" si="0"/>
        <v>0.02</v>
      </c>
    </row>
    <row r="34" spans="1:13">
      <c r="A34" s="2" t="s">
        <v>95</v>
      </c>
      <c r="B34" s="2" t="s">
        <v>96</v>
      </c>
      <c r="C34" s="2" t="s">
        <v>67</v>
      </c>
      <c r="D34" s="2">
        <v>81</v>
      </c>
      <c r="E34" s="2">
        <v>108</v>
      </c>
      <c r="F34" s="2">
        <v>59</v>
      </c>
      <c r="G34" s="2">
        <v>150</v>
      </c>
      <c r="H34" s="2">
        <v>147</v>
      </c>
      <c r="I34" s="2">
        <v>545</v>
      </c>
      <c r="J34" s="2">
        <v>500</v>
      </c>
      <c r="K34" s="2">
        <v>109</v>
      </c>
      <c r="L34" s="8">
        <v>-45</v>
      </c>
      <c r="M34" s="4">
        <f t="shared" si="0"/>
        <v>0</v>
      </c>
    </row>
    <row r="35" spans="1:13">
      <c r="A35" s="2" t="s">
        <v>97</v>
      </c>
      <c r="B35" s="2" t="s">
        <v>98</v>
      </c>
      <c r="C35" s="2" t="s">
        <v>67</v>
      </c>
      <c r="D35" s="2">
        <v>66</v>
      </c>
      <c r="E35" s="2">
        <v>49</v>
      </c>
      <c r="F35" s="2">
        <v>104</v>
      </c>
      <c r="G35" s="2">
        <v>91</v>
      </c>
      <c r="H35" s="2">
        <v>144</v>
      </c>
      <c r="I35" s="2">
        <v>454</v>
      </c>
      <c r="J35" s="2">
        <v>500</v>
      </c>
      <c r="K35" s="2">
        <v>90.8</v>
      </c>
      <c r="L35" s="8">
        <v>46</v>
      </c>
      <c r="M35" s="4">
        <f t="shared" si="0"/>
        <v>9.1999999999999998E-2</v>
      </c>
    </row>
    <row r="36" spans="1:13">
      <c r="A36" s="2" t="s">
        <v>99</v>
      </c>
      <c r="B36" s="2" t="s">
        <v>12</v>
      </c>
      <c r="C36" s="2" t="s">
        <v>67</v>
      </c>
      <c r="D36" s="2">
        <v>120</v>
      </c>
      <c r="E36" s="2">
        <v>145</v>
      </c>
      <c r="F36" s="2">
        <v>100</v>
      </c>
      <c r="G36" s="2">
        <v>122</v>
      </c>
      <c r="H36" s="2">
        <v>83</v>
      </c>
      <c r="I36" s="2">
        <v>570</v>
      </c>
      <c r="J36" s="2">
        <v>500</v>
      </c>
      <c r="K36" s="2">
        <v>114</v>
      </c>
      <c r="L36" s="8">
        <v>-70</v>
      </c>
      <c r="M36" s="4">
        <f t="shared" si="0"/>
        <v>0</v>
      </c>
    </row>
    <row r="37" spans="1:13">
      <c r="A37" s="2" t="s">
        <v>100</v>
      </c>
      <c r="B37" s="2" t="s">
        <v>101</v>
      </c>
      <c r="C37" s="2" t="s">
        <v>67</v>
      </c>
      <c r="D37" s="2">
        <v>95</v>
      </c>
      <c r="E37" s="2">
        <v>135</v>
      </c>
      <c r="F37" s="2">
        <v>88</v>
      </c>
      <c r="G37" s="2">
        <v>136</v>
      </c>
      <c r="H37" s="2">
        <v>93</v>
      </c>
      <c r="I37" s="2">
        <v>547</v>
      </c>
      <c r="J37" s="2">
        <v>500</v>
      </c>
      <c r="K37" s="2">
        <v>109.4</v>
      </c>
      <c r="L37" s="8">
        <v>-47</v>
      </c>
      <c r="M37" s="4">
        <f t="shared" si="0"/>
        <v>0</v>
      </c>
    </row>
    <row r="38" spans="1:13">
      <c r="A38" s="2" t="s">
        <v>102</v>
      </c>
      <c r="B38" s="2" t="s">
        <v>103</v>
      </c>
      <c r="C38" s="2" t="s">
        <v>32</v>
      </c>
      <c r="D38" s="2">
        <v>46</v>
      </c>
      <c r="E38" s="2">
        <v>102</v>
      </c>
      <c r="F38" s="2">
        <v>143</v>
      </c>
      <c r="G38" s="2">
        <v>63</v>
      </c>
      <c r="H38" s="2">
        <v>97</v>
      </c>
      <c r="I38" s="2">
        <v>451</v>
      </c>
      <c r="J38" s="2">
        <v>500</v>
      </c>
      <c r="K38" s="2">
        <v>90.2</v>
      </c>
      <c r="L38" s="8">
        <v>49</v>
      </c>
      <c r="M38" s="4">
        <f t="shared" si="0"/>
        <v>9.8000000000000004E-2</v>
      </c>
    </row>
    <row r="39" spans="1:13">
      <c r="A39" s="2" t="s">
        <v>104</v>
      </c>
      <c r="B39" s="2" t="s">
        <v>105</v>
      </c>
      <c r="C39" s="2" t="s">
        <v>46</v>
      </c>
      <c r="D39" s="2">
        <v>61</v>
      </c>
      <c r="E39" s="2">
        <v>77</v>
      </c>
      <c r="F39" s="2">
        <v>79</v>
      </c>
      <c r="G39" s="2">
        <v>133</v>
      </c>
      <c r="H39" s="2">
        <v>120</v>
      </c>
      <c r="I39" s="2">
        <v>470</v>
      </c>
      <c r="J39" s="2">
        <v>500</v>
      </c>
      <c r="K39" s="2">
        <v>94</v>
      </c>
      <c r="L39" s="8">
        <v>30</v>
      </c>
      <c r="M39" s="4">
        <f t="shared" si="0"/>
        <v>0.06</v>
      </c>
    </row>
    <row r="40" spans="1:13">
      <c r="A40" s="2" t="s">
        <v>106</v>
      </c>
      <c r="B40" s="2" t="s">
        <v>107</v>
      </c>
      <c r="C40" s="2" t="s">
        <v>29</v>
      </c>
      <c r="D40" s="2">
        <v>62</v>
      </c>
      <c r="E40" s="2">
        <v>66</v>
      </c>
      <c r="F40" s="2">
        <v>53</v>
      </c>
      <c r="G40" s="2">
        <v>70</v>
      </c>
      <c r="H40" s="2">
        <v>119</v>
      </c>
      <c r="I40" s="2">
        <v>370</v>
      </c>
      <c r="J40" s="2">
        <v>500</v>
      </c>
      <c r="K40" s="2">
        <v>74</v>
      </c>
      <c r="L40" s="8">
        <v>130</v>
      </c>
      <c r="M40" s="4">
        <f t="shared" si="0"/>
        <v>0.26</v>
      </c>
    </row>
    <row r="41" spans="1:13">
      <c r="A41" s="2" t="s">
        <v>108</v>
      </c>
      <c r="B41" s="2" t="s">
        <v>109</v>
      </c>
      <c r="C41" s="2" t="s">
        <v>39</v>
      </c>
      <c r="D41" s="2">
        <v>72</v>
      </c>
      <c r="E41" s="2">
        <v>71</v>
      </c>
      <c r="F41" s="2">
        <v>130</v>
      </c>
      <c r="G41" s="2">
        <v>137</v>
      </c>
      <c r="H41" s="2">
        <v>89</v>
      </c>
      <c r="I41" s="2">
        <v>499</v>
      </c>
      <c r="J41" s="2">
        <v>500</v>
      </c>
      <c r="K41" s="2">
        <v>99.8</v>
      </c>
      <c r="L41" s="8">
        <v>1</v>
      </c>
      <c r="M41" s="4">
        <f t="shared" si="0"/>
        <v>2E-3</v>
      </c>
    </row>
    <row r="42" spans="1:13">
      <c r="A42" s="2" t="s">
        <v>110</v>
      </c>
      <c r="B42" s="2" t="s">
        <v>111</v>
      </c>
      <c r="C42" s="2" t="s">
        <v>46</v>
      </c>
      <c r="D42" s="2">
        <v>130</v>
      </c>
      <c r="E42" s="2">
        <v>102</v>
      </c>
      <c r="F42" s="2">
        <v>96</v>
      </c>
      <c r="G42" s="2">
        <v>103</v>
      </c>
      <c r="H42" s="2">
        <v>81</v>
      </c>
      <c r="I42" s="2">
        <v>512</v>
      </c>
      <c r="J42" s="2">
        <v>500</v>
      </c>
      <c r="K42" s="2">
        <v>102.4</v>
      </c>
      <c r="L42" s="8">
        <v>-12</v>
      </c>
      <c r="M42" s="4">
        <f t="shared" si="0"/>
        <v>0</v>
      </c>
    </row>
    <row r="43" spans="1:13">
      <c r="A43" s="2" t="s">
        <v>112</v>
      </c>
      <c r="B43" s="2" t="s">
        <v>113</v>
      </c>
      <c r="C43" s="2" t="s">
        <v>67</v>
      </c>
      <c r="D43" s="2">
        <v>143</v>
      </c>
      <c r="E43" s="2">
        <v>56</v>
      </c>
      <c r="F43" s="2">
        <v>138</v>
      </c>
      <c r="G43" s="2">
        <v>130</v>
      </c>
      <c r="H43" s="2">
        <v>101</v>
      </c>
      <c r="I43" s="2">
        <v>568</v>
      </c>
      <c r="J43" s="2">
        <v>500</v>
      </c>
      <c r="K43" s="2">
        <v>113.6</v>
      </c>
      <c r="L43" s="8">
        <v>-68</v>
      </c>
      <c r="M43" s="4">
        <f t="shared" si="0"/>
        <v>0</v>
      </c>
    </row>
    <row r="44" spans="1:13">
      <c r="A44" s="2" t="s">
        <v>114</v>
      </c>
      <c r="B44" s="2" t="s">
        <v>115</v>
      </c>
      <c r="C44" s="2" t="s">
        <v>67</v>
      </c>
      <c r="D44" s="2">
        <v>88</v>
      </c>
      <c r="E44" s="2">
        <v>104</v>
      </c>
      <c r="F44" s="2">
        <v>93</v>
      </c>
      <c r="G44" s="2">
        <v>60</v>
      </c>
      <c r="H44" s="2">
        <v>63</v>
      </c>
      <c r="I44" s="2">
        <v>408</v>
      </c>
      <c r="J44" s="2">
        <v>500</v>
      </c>
      <c r="K44" s="2">
        <v>81.599999999999994</v>
      </c>
      <c r="L44" s="8">
        <v>92</v>
      </c>
      <c r="M44" s="4">
        <f t="shared" si="0"/>
        <v>0.184</v>
      </c>
    </row>
    <row r="45" spans="1:13">
      <c r="A45" s="2" t="s">
        <v>116</v>
      </c>
      <c r="B45" s="2" t="s">
        <v>117</v>
      </c>
      <c r="C45" s="2" t="s">
        <v>46</v>
      </c>
      <c r="D45" s="2">
        <v>61</v>
      </c>
      <c r="E45" s="2">
        <v>120</v>
      </c>
      <c r="F45" s="2">
        <v>129</v>
      </c>
      <c r="G45" s="2">
        <v>119</v>
      </c>
      <c r="H45" s="2">
        <v>51</v>
      </c>
      <c r="I45" s="2">
        <v>480</v>
      </c>
      <c r="J45" s="2">
        <v>500</v>
      </c>
      <c r="K45" s="2">
        <v>96</v>
      </c>
      <c r="L45" s="8">
        <v>20</v>
      </c>
      <c r="M45" s="4">
        <f t="shared" si="0"/>
        <v>0.04</v>
      </c>
    </row>
    <row r="46" spans="1:13">
      <c r="A46" s="2" t="s">
        <v>118</v>
      </c>
      <c r="B46" s="2" t="s">
        <v>119</v>
      </c>
      <c r="C46" s="2" t="s">
        <v>32</v>
      </c>
      <c r="D46" s="2">
        <v>41</v>
      </c>
      <c r="E46" s="2">
        <v>47</v>
      </c>
      <c r="F46" s="2">
        <v>52</v>
      </c>
      <c r="G46" s="2">
        <v>85</v>
      </c>
      <c r="H46" s="2">
        <v>58</v>
      </c>
      <c r="I46" s="2">
        <v>283</v>
      </c>
      <c r="J46" s="2">
        <v>500</v>
      </c>
      <c r="K46" s="2">
        <v>56.6</v>
      </c>
      <c r="L46" s="8">
        <v>217</v>
      </c>
      <c r="M46" s="4">
        <f t="shared" si="0"/>
        <v>0.434</v>
      </c>
    </row>
    <row r="47" spans="1:13">
      <c r="A47" s="2" t="s">
        <v>120</v>
      </c>
      <c r="B47" s="2" t="s">
        <v>121</v>
      </c>
      <c r="C47" s="2" t="s">
        <v>29</v>
      </c>
      <c r="D47" s="2">
        <v>56</v>
      </c>
      <c r="E47" s="2">
        <v>108</v>
      </c>
      <c r="F47" s="2">
        <v>124</v>
      </c>
      <c r="G47" s="2">
        <v>54</v>
      </c>
      <c r="H47" s="2">
        <v>143</v>
      </c>
      <c r="I47" s="2">
        <v>485</v>
      </c>
      <c r="J47" s="2">
        <v>500</v>
      </c>
      <c r="K47" s="2">
        <v>97</v>
      </c>
      <c r="L47" s="8">
        <v>15</v>
      </c>
      <c r="M47" s="4">
        <f t="shared" si="0"/>
        <v>0.03</v>
      </c>
    </row>
    <row r="48" spans="1:13">
      <c r="A48" s="2" t="s">
        <v>122</v>
      </c>
      <c r="B48" s="2" t="s">
        <v>123</v>
      </c>
      <c r="C48" s="2" t="s">
        <v>29</v>
      </c>
      <c r="D48" s="2">
        <v>85</v>
      </c>
      <c r="E48" s="2">
        <v>79</v>
      </c>
      <c r="F48" s="2">
        <v>61</v>
      </c>
      <c r="G48" s="2">
        <v>43</v>
      </c>
      <c r="H48" s="2">
        <v>48</v>
      </c>
      <c r="I48" s="2">
        <v>316</v>
      </c>
      <c r="J48" s="2">
        <v>500</v>
      </c>
      <c r="K48" s="2">
        <v>63.2</v>
      </c>
      <c r="L48" s="8">
        <v>184</v>
      </c>
      <c r="M48" s="4">
        <f t="shared" si="0"/>
        <v>0.36799999999999999</v>
      </c>
    </row>
    <row r="49" spans="1:13">
      <c r="A49" s="2" t="s">
        <v>124</v>
      </c>
      <c r="B49" s="2" t="s">
        <v>125</v>
      </c>
      <c r="C49" s="2" t="s">
        <v>39</v>
      </c>
      <c r="D49" s="2">
        <v>118</v>
      </c>
      <c r="E49" s="2">
        <v>98</v>
      </c>
      <c r="F49" s="2">
        <v>75</v>
      </c>
      <c r="G49" s="2">
        <v>57</v>
      </c>
      <c r="H49" s="2">
        <v>40</v>
      </c>
      <c r="I49" s="2">
        <v>388</v>
      </c>
      <c r="J49" s="2">
        <v>500</v>
      </c>
      <c r="K49" s="2">
        <v>77.599999999999994</v>
      </c>
      <c r="L49" s="8">
        <v>112</v>
      </c>
      <c r="M49" s="4">
        <f t="shared" si="0"/>
        <v>0.224</v>
      </c>
    </row>
    <row r="50" spans="1:13">
      <c r="A50" s="2" t="s">
        <v>126</v>
      </c>
      <c r="B50" s="2" t="s">
        <v>127</v>
      </c>
      <c r="C50" s="2" t="s">
        <v>39</v>
      </c>
      <c r="D50" s="2">
        <v>132</v>
      </c>
      <c r="E50" s="2">
        <v>140</v>
      </c>
      <c r="F50" s="2">
        <v>102</v>
      </c>
      <c r="G50" s="2">
        <v>108</v>
      </c>
      <c r="H50" s="2">
        <v>141</v>
      </c>
      <c r="I50" s="2">
        <v>623</v>
      </c>
      <c r="J50" s="2">
        <v>500</v>
      </c>
      <c r="K50" s="2">
        <v>119.6</v>
      </c>
      <c r="L50" s="8">
        <v>-123</v>
      </c>
      <c r="M50" s="4">
        <f t="shared" si="0"/>
        <v>0</v>
      </c>
    </row>
    <row r="51" spans="1:13">
      <c r="A51" s="2" t="s">
        <v>128</v>
      </c>
      <c r="B51" s="2" t="s">
        <v>129</v>
      </c>
      <c r="C51" s="2" t="s">
        <v>46</v>
      </c>
      <c r="D51" s="2">
        <v>53</v>
      </c>
      <c r="E51" s="2">
        <v>71</v>
      </c>
      <c r="F51" s="2">
        <v>127</v>
      </c>
      <c r="G51" s="2">
        <v>137</v>
      </c>
      <c r="H51" s="2">
        <v>89</v>
      </c>
      <c r="I51" s="2">
        <v>477</v>
      </c>
      <c r="J51" s="2">
        <v>500</v>
      </c>
      <c r="K51" s="2">
        <v>95.4</v>
      </c>
      <c r="L51" s="8">
        <v>23</v>
      </c>
      <c r="M51" s="4">
        <f t="shared" si="0"/>
        <v>4.5999999999999999E-2</v>
      </c>
    </row>
    <row r="52" spans="1:13">
      <c r="A52" s="2" t="s">
        <v>130</v>
      </c>
      <c r="B52" s="2" t="s">
        <v>131</v>
      </c>
      <c r="C52" s="2" t="s">
        <v>39</v>
      </c>
      <c r="D52" s="2">
        <v>60</v>
      </c>
      <c r="E52" s="2">
        <v>94</v>
      </c>
      <c r="F52" s="2">
        <v>93</v>
      </c>
      <c r="G52" s="2">
        <v>125</v>
      </c>
      <c r="H52" s="2">
        <v>140</v>
      </c>
      <c r="I52" s="2">
        <v>512</v>
      </c>
      <c r="J52" s="2">
        <v>500</v>
      </c>
      <c r="K52" s="2">
        <v>102.4</v>
      </c>
      <c r="L52" s="8">
        <v>-12</v>
      </c>
      <c r="M52" s="4">
        <f t="shared" si="0"/>
        <v>0</v>
      </c>
    </row>
    <row r="53" spans="1:13">
      <c r="A53" s="2" t="s">
        <v>132</v>
      </c>
      <c r="B53" s="2" t="s">
        <v>133</v>
      </c>
      <c r="C53" s="2" t="s">
        <v>39</v>
      </c>
      <c r="D53" s="2">
        <v>129</v>
      </c>
      <c r="E53" s="2">
        <v>46</v>
      </c>
      <c r="F53" s="2">
        <v>144</v>
      </c>
      <c r="G53" s="2">
        <v>141</v>
      </c>
      <c r="H53" s="2">
        <v>55</v>
      </c>
      <c r="I53" s="2">
        <v>515</v>
      </c>
      <c r="J53" s="2">
        <v>500</v>
      </c>
      <c r="K53" s="2">
        <v>103</v>
      </c>
      <c r="L53" s="8">
        <v>-15</v>
      </c>
      <c r="M53" s="4">
        <f t="shared" si="0"/>
        <v>0</v>
      </c>
    </row>
    <row r="54" spans="1:13">
      <c r="A54" s="2" t="s">
        <v>134</v>
      </c>
      <c r="B54" s="2" t="s">
        <v>135</v>
      </c>
      <c r="C54" s="2" t="s">
        <v>46</v>
      </c>
      <c r="D54" s="2">
        <v>46</v>
      </c>
      <c r="E54" s="2">
        <v>51</v>
      </c>
      <c r="F54" s="2">
        <v>97</v>
      </c>
      <c r="G54" s="2">
        <v>85</v>
      </c>
      <c r="H54" s="2">
        <v>79</v>
      </c>
      <c r="I54" s="2">
        <v>358</v>
      </c>
      <c r="J54" s="2">
        <v>500</v>
      </c>
      <c r="K54" s="2">
        <v>71.599999999999994</v>
      </c>
      <c r="L54" s="8">
        <v>142</v>
      </c>
      <c r="M54" s="4">
        <f t="shared" si="0"/>
        <v>0.28399999999999997</v>
      </c>
    </row>
    <row r="55" spans="1:13">
      <c r="A55" s="2" t="s">
        <v>136</v>
      </c>
      <c r="B55" s="2" t="s">
        <v>137</v>
      </c>
      <c r="C55" s="2" t="s">
        <v>32</v>
      </c>
      <c r="D55" s="2">
        <v>80</v>
      </c>
      <c r="E55" s="2">
        <v>99</v>
      </c>
      <c r="F55" s="2">
        <v>87</v>
      </c>
      <c r="G55" s="2">
        <v>67</v>
      </c>
      <c r="H55" s="2">
        <v>112</v>
      </c>
      <c r="I55" s="2">
        <v>445</v>
      </c>
      <c r="J55" s="2">
        <v>500</v>
      </c>
      <c r="K55" s="2">
        <v>89</v>
      </c>
      <c r="L55" s="8">
        <v>55</v>
      </c>
      <c r="M55" s="4">
        <f t="shared" si="0"/>
        <v>0.11</v>
      </c>
    </row>
    <row r="56" spans="1:13">
      <c r="A56" s="2" t="s">
        <v>138</v>
      </c>
      <c r="B56" s="2" t="s">
        <v>139</v>
      </c>
      <c r="C56" s="2" t="s">
        <v>46</v>
      </c>
      <c r="D56" s="2">
        <v>104</v>
      </c>
      <c r="E56" s="2">
        <v>48</v>
      </c>
      <c r="F56" s="2">
        <v>68</v>
      </c>
      <c r="G56" s="2">
        <v>94</v>
      </c>
      <c r="H56" s="2">
        <v>138</v>
      </c>
      <c r="I56" s="2">
        <v>452</v>
      </c>
      <c r="J56" s="2">
        <v>500</v>
      </c>
      <c r="K56" s="2">
        <v>90.4</v>
      </c>
      <c r="L56" s="8">
        <v>48</v>
      </c>
      <c r="M56" s="4">
        <f t="shared" si="0"/>
        <v>9.6000000000000002E-2</v>
      </c>
    </row>
    <row r="57" spans="1:13">
      <c r="A57" s="2" t="s">
        <v>140</v>
      </c>
      <c r="B57" s="2" t="s">
        <v>141</v>
      </c>
      <c r="C57" s="2" t="s">
        <v>67</v>
      </c>
      <c r="D57" s="2">
        <v>71</v>
      </c>
      <c r="E57" s="2">
        <v>106</v>
      </c>
      <c r="F57" s="2">
        <v>127</v>
      </c>
      <c r="G57" s="2">
        <v>106</v>
      </c>
      <c r="H57" s="2">
        <v>128</v>
      </c>
      <c r="I57" s="2">
        <v>538</v>
      </c>
      <c r="J57" s="2">
        <v>500</v>
      </c>
      <c r="K57" s="2">
        <v>107.6</v>
      </c>
      <c r="L57" s="8">
        <v>-38</v>
      </c>
      <c r="M57" s="4">
        <f t="shared" si="0"/>
        <v>0</v>
      </c>
    </row>
    <row r="58" spans="1:13">
      <c r="A58" s="2" t="s">
        <v>142</v>
      </c>
      <c r="B58" s="2" t="s">
        <v>143</v>
      </c>
      <c r="C58" s="2" t="s">
        <v>67</v>
      </c>
      <c r="D58" s="2">
        <v>112</v>
      </c>
      <c r="E58" s="2">
        <v>140</v>
      </c>
      <c r="F58" s="2">
        <v>69</v>
      </c>
      <c r="G58" s="2">
        <v>75</v>
      </c>
      <c r="H58" s="2">
        <v>96</v>
      </c>
      <c r="I58" s="2">
        <v>492</v>
      </c>
      <c r="J58" s="2">
        <v>500</v>
      </c>
      <c r="K58" s="2">
        <v>98.4</v>
      </c>
      <c r="L58" s="8">
        <v>8</v>
      </c>
      <c r="M58" s="4">
        <f t="shared" si="0"/>
        <v>1.6E-2</v>
      </c>
    </row>
    <row r="59" spans="1:13">
      <c r="A59" s="2" t="s">
        <v>144</v>
      </c>
      <c r="B59" s="2" t="s">
        <v>145</v>
      </c>
      <c r="C59" s="2" t="s">
        <v>67</v>
      </c>
      <c r="D59" s="2">
        <v>77</v>
      </c>
      <c r="E59" s="2">
        <v>79</v>
      </c>
      <c r="F59" s="2">
        <v>116</v>
      </c>
      <c r="G59" s="2">
        <v>121</v>
      </c>
      <c r="H59" s="2">
        <v>61</v>
      </c>
      <c r="I59" s="2">
        <v>454</v>
      </c>
      <c r="J59" s="2">
        <v>500</v>
      </c>
      <c r="K59" s="2">
        <v>90.8</v>
      </c>
      <c r="L59" s="8">
        <v>46</v>
      </c>
      <c r="M59" s="4">
        <f t="shared" si="0"/>
        <v>9.1999999999999998E-2</v>
      </c>
    </row>
    <row r="60" spans="1:13">
      <c r="A60" s="2" t="s">
        <v>146</v>
      </c>
      <c r="B60" s="2" t="s">
        <v>147</v>
      </c>
      <c r="C60" s="2" t="s">
        <v>39</v>
      </c>
      <c r="D60" s="2">
        <v>101</v>
      </c>
      <c r="E60" s="2">
        <v>117</v>
      </c>
      <c r="F60" s="2">
        <v>59</v>
      </c>
      <c r="G60" s="2">
        <v>142</v>
      </c>
      <c r="H60" s="2">
        <v>90</v>
      </c>
      <c r="I60" s="2">
        <v>509</v>
      </c>
      <c r="J60" s="2">
        <v>500</v>
      </c>
      <c r="K60" s="2">
        <v>101.8</v>
      </c>
      <c r="L60" s="8">
        <v>-9</v>
      </c>
      <c r="M60" s="4">
        <f t="shared" si="0"/>
        <v>0</v>
      </c>
    </row>
    <row r="61" spans="1:13">
      <c r="A61" s="2" t="s">
        <v>148</v>
      </c>
      <c r="B61" s="2" t="s">
        <v>149</v>
      </c>
      <c r="C61" s="2" t="s">
        <v>32</v>
      </c>
      <c r="D61" s="2">
        <v>62</v>
      </c>
      <c r="E61" s="2">
        <v>136</v>
      </c>
      <c r="F61" s="2">
        <v>128</v>
      </c>
      <c r="G61" s="2">
        <v>69</v>
      </c>
      <c r="H61" s="2">
        <v>140</v>
      </c>
      <c r="I61" s="2">
        <v>535</v>
      </c>
      <c r="J61" s="2">
        <v>500</v>
      </c>
      <c r="K61" s="2">
        <v>107</v>
      </c>
      <c r="L61" s="8">
        <v>-35</v>
      </c>
      <c r="M61" s="4">
        <f t="shared" si="0"/>
        <v>0</v>
      </c>
    </row>
    <row r="62" spans="1:13">
      <c r="A62" s="2" t="s">
        <v>150</v>
      </c>
      <c r="B62" s="2" t="s">
        <v>151</v>
      </c>
      <c r="C62" s="2" t="s">
        <v>32</v>
      </c>
      <c r="D62" s="2">
        <v>74</v>
      </c>
      <c r="E62" s="2">
        <v>134</v>
      </c>
      <c r="F62" s="2">
        <v>54</v>
      </c>
      <c r="G62" s="2">
        <v>61</v>
      </c>
      <c r="H62" s="2">
        <v>50</v>
      </c>
      <c r="I62" s="2">
        <v>373</v>
      </c>
      <c r="J62" s="2">
        <v>500</v>
      </c>
      <c r="K62" s="2">
        <v>74.599999999999994</v>
      </c>
      <c r="L62" s="8">
        <v>127</v>
      </c>
      <c r="M62" s="4">
        <f t="shared" si="0"/>
        <v>0.254</v>
      </c>
    </row>
    <row r="63" spans="1:13">
      <c r="A63" s="2" t="s">
        <v>152</v>
      </c>
      <c r="B63" s="2" t="s">
        <v>153</v>
      </c>
      <c r="C63" s="2" t="s">
        <v>29</v>
      </c>
      <c r="D63" s="2">
        <v>144</v>
      </c>
      <c r="E63" s="2">
        <v>124</v>
      </c>
      <c r="F63" s="2">
        <v>150</v>
      </c>
      <c r="G63" s="2">
        <v>137</v>
      </c>
      <c r="H63" s="2">
        <v>57</v>
      </c>
      <c r="I63" s="2">
        <v>612</v>
      </c>
      <c r="J63" s="2">
        <v>500</v>
      </c>
      <c r="K63" s="2">
        <v>122.4</v>
      </c>
      <c r="L63" s="8">
        <v>-112</v>
      </c>
      <c r="M63" s="4">
        <f t="shared" si="0"/>
        <v>0</v>
      </c>
    </row>
    <row r="64" spans="1:13">
      <c r="A64" s="2" t="s">
        <v>154</v>
      </c>
      <c r="B64" s="2" t="s">
        <v>155</v>
      </c>
      <c r="C64" s="2" t="s">
        <v>46</v>
      </c>
      <c r="D64" s="2">
        <v>46</v>
      </c>
      <c r="E64" s="2">
        <v>47</v>
      </c>
      <c r="F64" s="2">
        <v>119</v>
      </c>
      <c r="G64" s="2">
        <v>48</v>
      </c>
      <c r="H64" s="2">
        <v>69</v>
      </c>
      <c r="I64" s="2">
        <v>329</v>
      </c>
      <c r="J64" s="2">
        <v>500</v>
      </c>
      <c r="K64" s="2">
        <v>65.8</v>
      </c>
      <c r="L64" s="8">
        <v>171</v>
      </c>
      <c r="M64" s="4">
        <f t="shared" si="0"/>
        <v>0.34200000000000003</v>
      </c>
    </row>
    <row r="65" spans="1:13">
      <c r="A65" s="2" t="s">
        <v>156</v>
      </c>
      <c r="B65" s="2" t="s">
        <v>157</v>
      </c>
      <c r="C65" s="2" t="s">
        <v>32</v>
      </c>
      <c r="D65" s="2">
        <v>105</v>
      </c>
      <c r="E65" s="2">
        <v>98</v>
      </c>
      <c r="F65" s="2">
        <v>145</v>
      </c>
      <c r="G65" s="2">
        <v>111</v>
      </c>
      <c r="H65" s="2">
        <v>64</v>
      </c>
      <c r="I65" s="2">
        <v>523</v>
      </c>
      <c r="J65" s="2">
        <v>500</v>
      </c>
      <c r="K65" s="2">
        <v>104.6</v>
      </c>
      <c r="L65" s="8">
        <v>-23</v>
      </c>
      <c r="M65" s="4">
        <f t="shared" si="0"/>
        <v>0</v>
      </c>
    </row>
    <row r="66" spans="1:13">
      <c r="A66" s="2" t="s">
        <v>158</v>
      </c>
      <c r="B66" s="2" t="s">
        <v>159</v>
      </c>
      <c r="C66" s="2" t="s">
        <v>39</v>
      </c>
      <c r="D66" s="2">
        <v>80</v>
      </c>
      <c r="E66" s="2">
        <v>61</v>
      </c>
      <c r="F66" s="2">
        <v>59</v>
      </c>
      <c r="G66" s="2">
        <v>122</v>
      </c>
      <c r="H66" s="2">
        <v>140</v>
      </c>
      <c r="I66" s="2">
        <v>462</v>
      </c>
      <c r="J66" s="2">
        <v>500</v>
      </c>
      <c r="K66" s="2">
        <v>92.4</v>
      </c>
      <c r="L66" s="8">
        <v>38</v>
      </c>
      <c r="M66" s="4">
        <f t="shared" si="0"/>
        <v>7.5999999999999998E-2</v>
      </c>
    </row>
    <row r="67" spans="1:13">
      <c r="A67" s="2" t="s">
        <v>160</v>
      </c>
      <c r="B67" s="2" t="s">
        <v>161</v>
      </c>
      <c r="C67" s="2" t="s">
        <v>39</v>
      </c>
      <c r="D67" s="2">
        <v>124</v>
      </c>
      <c r="E67" s="2">
        <v>47</v>
      </c>
      <c r="F67" s="2">
        <v>143</v>
      </c>
      <c r="G67" s="2">
        <v>138</v>
      </c>
      <c r="H67" s="2">
        <v>53</v>
      </c>
      <c r="I67" s="2">
        <v>505</v>
      </c>
      <c r="J67" s="2">
        <v>500</v>
      </c>
      <c r="K67" s="2">
        <v>101</v>
      </c>
      <c r="L67" s="8">
        <v>-5</v>
      </c>
      <c r="M67" s="4">
        <f t="shared" ref="M67:M130" si="1">MAX(0,L67/J67)</f>
        <v>0</v>
      </c>
    </row>
    <row r="68" spans="1:13">
      <c r="A68" s="2" t="s">
        <v>162</v>
      </c>
      <c r="B68" s="2" t="s">
        <v>163</v>
      </c>
      <c r="C68" s="2" t="s">
        <v>29</v>
      </c>
      <c r="D68" s="2">
        <v>107</v>
      </c>
      <c r="E68" s="2">
        <v>45</v>
      </c>
      <c r="F68" s="2">
        <v>105</v>
      </c>
      <c r="G68" s="2">
        <v>101</v>
      </c>
      <c r="H68" s="2">
        <v>78</v>
      </c>
      <c r="I68" s="2">
        <v>436</v>
      </c>
      <c r="J68" s="2">
        <v>500</v>
      </c>
      <c r="K68" s="2">
        <v>87.2</v>
      </c>
      <c r="L68" s="8">
        <v>64</v>
      </c>
      <c r="M68" s="4">
        <f t="shared" si="1"/>
        <v>0.128</v>
      </c>
    </row>
    <row r="69" spans="1:13">
      <c r="A69" s="2" t="s">
        <v>164</v>
      </c>
      <c r="B69" s="2" t="s">
        <v>165</v>
      </c>
      <c r="C69" s="2" t="s">
        <v>29</v>
      </c>
      <c r="D69" s="2">
        <v>86</v>
      </c>
      <c r="E69" s="2">
        <v>107</v>
      </c>
      <c r="F69" s="2">
        <v>86</v>
      </c>
      <c r="G69" s="2">
        <v>141</v>
      </c>
      <c r="H69" s="2">
        <v>128</v>
      </c>
      <c r="I69" s="2">
        <v>548</v>
      </c>
      <c r="J69" s="2">
        <v>500</v>
      </c>
      <c r="K69" s="2">
        <v>109.6</v>
      </c>
      <c r="L69" s="8">
        <v>-48</v>
      </c>
      <c r="M69" s="4">
        <f t="shared" si="1"/>
        <v>0</v>
      </c>
    </row>
    <row r="70" spans="1:13">
      <c r="A70" s="2" t="s">
        <v>166</v>
      </c>
      <c r="B70" s="2" t="s">
        <v>7</v>
      </c>
      <c r="C70" s="2" t="s">
        <v>67</v>
      </c>
      <c r="D70" s="2">
        <v>65</v>
      </c>
      <c r="E70" s="2">
        <v>107</v>
      </c>
      <c r="F70" s="2">
        <v>132</v>
      </c>
      <c r="G70" s="2">
        <v>41</v>
      </c>
      <c r="H70" s="2">
        <v>40</v>
      </c>
      <c r="I70" s="2">
        <v>385</v>
      </c>
      <c r="J70" s="2">
        <v>500</v>
      </c>
      <c r="K70" s="2">
        <v>77</v>
      </c>
      <c r="L70" s="8">
        <v>115</v>
      </c>
      <c r="M70" s="4">
        <f t="shared" si="1"/>
        <v>0.23</v>
      </c>
    </row>
    <row r="71" spans="1:13">
      <c r="A71" s="2" t="s">
        <v>167</v>
      </c>
      <c r="B71" s="2" t="s">
        <v>168</v>
      </c>
      <c r="C71" s="2" t="s">
        <v>29</v>
      </c>
      <c r="D71" s="2">
        <v>62</v>
      </c>
      <c r="E71" s="2">
        <v>78</v>
      </c>
      <c r="F71" s="2">
        <v>59</v>
      </c>
      <c r="G71" s="2">
        <v>80</v>
      </c>
      <c r="H71" s="2">
        <v>110</v>
      </c>
      <c r="I71" s="2">
        <v>389</v>
      </c>
      <c r="J71" s="2">
        <v>500</v>
      </c>
      <c r="K71" s="2">
        <v>77.8</v>
      </c>
      <c r="L71" s="8">
        <v>111</v>
      </c>
      <c r="M71" s="4">
        <f t="shared" si="1"/>
        <v>0.222</v>
      </c>
    </row>
    <row r="72" spans="1:13">
      <c r="A72" s="2" t="s">
        <v>169</v>
      </c>
      <c r="B72" s="2" t="s">
        <v>170</v>
      </c>
      <c r="C72" s="2" t="s">
        <v>29</v>
      </c>
      <c r="D72" s="2">
        <v>66</v>
      </c>
      <c r="E72" s="2">
        <v>72</v>
      </c>
      <c r="F72" s="2">
        <v>91</v>
      </c>
      <c r="G72" s="2">
        <v>48</v>
      </c>
      <c r="H72" s="2">
        <v>54</v>
      </c>
      <c r="I72" s="2">
        <v>331</v>
      </c>
      <c r="J72" s="2">
        <v>500</v>
      </c>
      <c r="K72" s="2">
        <v>66.2</v>
      </c>
      <c r="L72" s="8">
        <v>169</v>
      </c>
      <c r="M72" s="4">
        <f t="shared" si="1"/>
        <v>0.33800000000000002</v>
      </c>
    </row>
    <row r="73" spans="1:13">
      <c r="A73" s="2" t="s">
        <v>171</v>
      </c>
      <c r="B73" s="2" t="s">
        <v>172</v>
      </c>
      <c r="C73" s="2" t="s">
        <v>46</v>
      </c>
      <c r="D73" s="2">
        <v>83</v>
      </c>
      <c r="E73" s="2">
        <v>144</v>
      </c>
      <c r="F73" s="2">
        <v>133</v>
      </c>
      <c r="G73" s="2">
        <v>125</v>
      </c>
      <c r="H73" s="2">
        <v>124</v>
      </c>
      <c r="I73" s="2">
        <v>609</v>
      </c>
      <c r="J73" s="2">
        <v>500</v>
      </c>
      <c r="K73" s="2">
        <v>121.8</v>
      </c>
      <c r="L73" s="8">
        <v>-109</v>
      </c>
      <c r="M73" s="4">
        <f t="shared" si="1"/>
        <v>0</v>
      </c>
    </row>
    <row r="74" spans="1:13">
      <c r="A74" s="2" t="s">
        <v>173</v>
      </c>
      <c r="B74" s="2" t="s">
        <v>174</v>
      </c>
      <c r="C74" s="2" t="s">
        <v>46</v>
      </c>
      <c r="D74" s="2">
        <v>53</v>
      </c>
      <c r="E74" s="2">
        <v>142</v>
      </c>
      <c r="F74" s="2">
        <v>66</v>
      </c>
      <c r="G74" s="2">
        <v>67</v>
      </c>
      <c r="H74" s="2">
        <v>63</v>
      </c>
      <c r="I74" s="2">
        <v>391</v>
      </c>
      <c r="J74" s="2">
        <v>500</v>
      </c>
      <c r="K74" s="2">
        <v>78.2</v>
      </c>
      <c r="L74" s="8">
        <v>109</v>
      </c>
      <c r="M74" s="4">
        <f t="shared" si="1"/>
        <v>0.218</v>
      </c>
    </row>
    <row r="75" spans="1:13">
      <c r="A75" s="2" t="s">
        <v>175</v>
      </c>
      <c r="B75" s="2" t="s">
        <v>176</v>
      </c>
      <c r="C75" s="2" t="s">
        <v>46</v>
      </c>
      <c r="D75" s="2">
        <v>86</v>
      </c>
      <c r="E75" s="2">
        <v>94</v>
      </c>
      <c r="F75" s="2">
        <v>66</v>
      </c>
      <c r="G75" s="2">
        <v>142</v>
      </c>
      <c r="H75" s="2">
        <v>54</v>
      </c>
      <c r="I75" s="2">
        <v>442</v>
      </c>
      <c r="J75" s="2">
        <v>500</v>
      </c>
      <c r="K75" s="2">
        <v>88.4</v>
      </c>
      <c r="L75" s="8">
        <v>58</v>
      </c>
      <c r="M75" s="4">
        <f t="shared" si="1"/>
        <v>0.11600000000000001</v>
      </c>
    </row>
    <row r="76" spans="1:13">
      <c r="A76" s="2" t="s">
        <v>177</v>
      </c>
      <c r="B76" s="2" t="s">
        <v>178</v>
      </c>
      <c r="C76" s="2" t="s">
        <v>29</v>
      </c>
      <c r="D76" s="2">
        <v>64</v>
      </c>
      <c r="E76" s="2">
        <v>91</v>
      </c>
      <c r="F76" s="2">
        <v>103</v>
      </c>
      <c r="G76" s="2">
        <v>139</v>
      </c>
      <c r="H76" s="2">
        <v>148</v>
      </c>
      <c r="I76" s="2">
        <v>545</v>
      </c>
      <c r="J76" s="2">
        <v>500</v>
      </c>
      <c r="K76" s="2">
        <v>109</v>
      </c>
      <c r="L76" s="8">
        <v>-45</v>
      </c>
      <c r="M76" s="4">
        <f t="shared" si="1"/>
        <v>0</v>
      </c>
    </row>
    <row r="77" spans="1:13">
      <c r="A77" s="2" t="s">
        <v>179</v>
      </c>
      <c r="B77" s="2" t="s">
        <v>180</v>
      </c>
      <c r="C77" s="2" t="s">
        <v>32</v>
      </c>
      <c r="D77" s="2">
        <v>96</v>
      </c>
      <c r="E77" s="2">
        <v>103</v>
      </c>
      <c r="F77" s="2">
        <v>63</v>
      </c>
      <c r="G77" s="2">
        <v>150</v>
      </c>
      <c r="H77" s="2">
        <v>106</v>
      </c>
      <c r="I77" s="2">
        <v>518</v>
      </c>
      <c r="J77" s="2">
        <v>500</v>
      </c>
      <c r="K77" s="2">
        <v>103.6</v>
      </c>
      <c r="L77" s="8">
        <v>-18</v>
      </c>
      <c r="M77" s="4">
        <f t="shared" si="1"/>
        <v>0</v>
      </c>
    </row>
    <row r="78" spans="1:13">
      <c r="A78" s="2" t="s">
        <v>181</v>
      </c>
      <c r="B78" s="2" t="s">
        <v>182</v>
      </c>
      <c r="C78" s="2" t="s">
        <v>32</v>
      </c>
      <c r="D78" s="2">
        <v>145</v>
      </c>
      <c r="E78" s="2">
        <v>105</v>
      </c>
      <c r="F78" s="2">
        <v>121</v>
      </c>
      <c r="G78" s="2">
        <v>80</v>
      </c>
      <c r="H78" s="2">
        <v>66</v>
      </c>
      <c r="I78" s="2">
        <v>517</v>
      </c>
      <c r="J78" s="2">
        <v>500</v>
      </c>
      <c r="K78" s="2">
        <v>103.4</v>
      </c>
      <c r="L78" s="8">
        <v>-17</v>
      </c>
      <c r="M78" s="4">
        <f t="shared" si="1"/>
        <v>0</v>
      </c>
    </row>
    <row r="79" spans="1:13">
      <c r="A79" s="2" t="s">
        <v>183</v>
      </c>
      <c r="B79" s="2" t="s">
        <v>8</v>
      </c>
      <c r="C79" s="2" t="s">
        <v>67</v>
      </c>
      <c r="D79" s="2">
        <v>64</v>
      </c>
      <c r="E79" s="2">
        <v>73</v>
      </c>
      <c r="F79" s="2">
        <v>143</v>
      </c>
      <c r="G79" s="2">
        <v>142</v>
      </c>
      <c r="H79" s="2">
        <v>148</v>
      </c>
      <c r="I79" s="2">
        <v>570</v>
      </c>
      <c r="J79" s="2">
        <v>500</v>
      </c>
      <c r="K79" s="2">
        <v>114</v>
      </c>
      <c r="L79" s="8">
        <v>-70</v>
      </c>
      <c r="M79" s="4">
        <f t="shared" si="1"/>
        <v>0</v>
      </c>
    </row>
    <row r="80" spans="1:13">
      <c r="A80" s="2" t="s">
        <v>184</v>
      </c>
      <c r="B80" s="2" t="s">
        <v>185</v>
      </c>
      <c r="C80" s="2" t="s">
        <v>29</v>
      </c>
      <c r="D80" s="2">
        <v>84</v>
      </c>
      <c r="E80" s="2">
        <v>107</v>
      </c>
      <c r="F80" s="2">
        <v>95</v>
      </c>
      <c r="G80" s="2">
        <v>150</v>
      </c>
      <c r="H80" s="2">
        <v>56</v>
      </c>
      <c r="I80" s="2">
        <v>492</v>
      </c>
      <c r="J80" s="2">
        <v>500</v>
      </c>
      <c r="K80" s="2">
        <v>98.4</v>
      </c>
      <c r="L80" s="8">
        <v>8</v>
      </c>
      <c r="M80" s="4">
        <f t="shared" si="1"/>
        <v>1.6E-2</v>
      </c>
    </row>
    <row r="81" spans="1:13">
      <c r="A81" s="2" t="s">
        <v>186</v>
      </c>
      <c r="B81" s="2" t="s">
        <v>187</v>
      </c>
      <c r="C81" s="2" t="s">
        <v>29</v>
      </c>
      <c r="D81" s="2">
        <v>86</v>
      </c>
      <c r="E81" s="2">
        <v>40</v>
      </c>
      <c r="F81" s="2">
        <v>89</v>
      </c>
      <c r="G81" s="2">
        <v>72</v>
      </c>
      <c r="H81" s="2">
        <v>56</v>
      </c>
      <c r="I81" s="2">
        <v>343</v>
      </c>
      <c r="J81" s="2">
        <v>500</v>
      </c>
      <c r="K81" s="2">
        <v>68.599999999999994</v>
      </c>
      <c r="L81" s="8">
        <v>157</v>
      </c>
      <c r="M81" s="4">
        <f t="shared" si="1"/>
        <v>0.314</v>
      </c>
    </row>
    <row r="82" spans="1:13">
      <c r="A82" s="2" t="s">
        <v>188</v>
      </c>
      <c r="B82" s="2" t="s">
        <v>189</v>
      </c>
      <c r="C82" s="2" t="s">
        <v>46</v>
      </c>
      <c r="D82" s="2">
        <v>79</v>
      </c>
      <c r="E82" s="2">
        <v>131</v>
      </c>
      <c r="F82" s="2">
        <v>146</v>
      </c>
      <c r="G82" s="2">
        <v>111</v>
      </c>
      <c r="H82" s="2">
        <v>66</v>
      </c>
      <c r="I82" s="2">
        <v>533</v>
      </c>
      <c r="J82" s="2">
        <v>500</v>
      </c>
      <c r="K82" s="2">
        <v>106.6</v>
      </c>
      <c r="L82" s="8">
        <v>-33</v>
      </c>
      <c r="M82" s="4">
        <f t="shared" si="1"/>
        <v>0</v>
      </c>
    </row>
    <row r="83" spans="1:13">
      <c r="A83" s="2" t="s">
        <v>190</v>
      </c>
      <c r="B83" s="2" t="s">
        <v>191</v>
      </c>
      <c r="C83" s="2" t="s">
        <v>67</v>
      </c>
      <c r="D83" s="2">
        <v>100</v>
      </c>
      <c r="E83" s="2">
        <v>72</v>
      </c>
      <c r="F83" s="2">
        <v>110</v>
      </c>
      <c r="G83" s="2">
        <v>93</v>
      </c>
      <c r="H83" s="2">
        <v>93</v>
      </c>
      <c r="I83" s="2">
        <v>468</v>
      </c>
      <c r="J83" s="2">
        <v>500</v>
      </c>
      <c r="K83" s="2">
        <v>93.6</v>
      </c>
      <c r="L83" s="8">
        <v>32</v>
      </c>
      <c r="M83" s="4">
        <f t="shared" si="1"/>
        <v>6.4000000000000001E-2</v>
      </c>
    </row>
    <row r="84" spans="1:13">
      <c r="A84" s="2" t="s">
        <v>192</v>
      </c>
      <c r="B84" s="2" t="s">
        <v>193</v>
      </c>
      <c r="C84" s="2" t="s">
        <v>39</v>
      </c>
      <c r="D84" s="2">
        <v>91</v>
      </c>
      <c r="E84" s="2">
        <v>77</v>
      </c>
      <c r="F84" s="2">
        <v>63</v>
      </c>
      <c r="G84" s="2">
        <v>137</v>
      </c>
      <c r="H84" s="2">
        <v>115</v>
      </c>
      <c r="I84" s="2">
        <v>483</v>
      </c>
      <c r="J84" s="2">
        <v>500</v>
      </c>
      <c r="K84" s="2">
        <v>96.6</v>
      </c>
      <c r="L84" s="8">
        <v>17</v>
      </c>
      <c r="M84" s="4">
        <f t="shared" si="1"/>
        <v>3.4000000000000002E-2</v>
      </c>
    </row>
    <row r="85" spans="1:13">
      <c r="A85" s="2" t="s">
        <v>194</v>
      </c>
      <c r="B85" s="2" t="s">
        <v>195</v>
      </c>
      <c r="C85" s="2" t="s">
        <v>46</v>
      </c>
      <c r="D85" s="2">
        <v>57</v>
      </c>
      <c r="E85" s="2">
        <v>146</v>
      </c>
      <c r="F85" s="2">
        <v>55</v>
      </c>
      <c r="G85" s="2">
        <v>145</v>
      </c>
      <c r="H85" s="2">
        <v>128</v>
      </c>
      <c r="I85" s="2">
        <v>531</v>
      </c>
      <c r="J85" s="2">
        <v>500</v>
      </c>
      <c r="K85" s="2">
        <v>106.2</v>
      </c>
      <c r="L85" s="8">
        <v>-31</v>
      </c>
      <c r="M85" s="4">
        <f t="shared" si="1"/>
        <v>0</v>
      </c>
    </row>
    <row r="86" spans="1:13">
      <c r="A86" s="2" t="s">
        <v>196</v>
      </c>
      <c r="B86" s="2" t="s">
        <v>197</v>
      </c>
      <c r="C86" s="2" t="s">
        <v>67</v>
      </c>
      <c r="D86" s="2">
        <v>83</v>
      </c>
      <c r="E86" s="2">
        <v>121</v>
      </c>
      <c r="F86" s="2">
        <v>95</v>
      </c>
      <c r="G86" s="2">
        <v>94</v>
      </c>
      <c r="H86" s="2">
        <v>133</v>
      </c>
      <c r="I86" s="2">
        <v>526</v>
      </c>
      <c r="J86" s="2">
        <v>500</v>
      </c>
      <c r="K86" s="2">
        <v>105.2</v>
      </c>
      <c r="L86" s="8">
        <v>-26</v>
      </c>
      <c r="M86" s="4">
        <f t="shared" si="1"/>
        <v>0</v>
      </c>
    </row>
    <row r="87" spans="1:13">
      <c r="A87" s="2" t="s">
        <v>198</v>
      </c>
      <c r="B87" s="2" t="s">
        <v>199</v>
      </c>
      <c r="C87" s="2" t="s">
        <v>46</v>
      </c>
      <c r="D87" s="2">
        <v>45</v>
      </c>
      <c r="E87" s="2">
        <v>128</v>
      </c>
      <c r="F87" s="2">
        <v>93</v>
      </c>
      <c r="G87" s="2">
        <v>138</v>
      </c>
      <c r="H87" s="2">
        <v>110</v>
      </c>
      <c r="I87" s="2">
        <v>514</v>
      </c>
      <c r="J87" s="2">
        <v>500</v>
      </c>
      <c r="K87" s="2">
        <v>102.8</v>
      </c>
      <c r="L87" s="8">
        <v>-14</v>
      </c>
      <c r="M87" s="4">
        <f t="shared" si="1"/>
        <v>0</v>
      </c>
    </row>
    <row r="88" spans="1:13">
      <c r="A88" s="2" t="s">
        <v>200</v>
      </c>
      <c r="B88" s="2" t="s">
        <v>201</v>
      </c>
      <c r="C88" s="2" t="s">
        <v>46</v>
      </c>
      <c r="D88" s="2">
        <v>83</v>
      </c>
      <c r="E88" s="2">
        <v>72</v>
      </c>
      <c r="F88" s="2">
        <v>95</v>
      </c>
      <c r="G88" s="2">
        <v>131</v>
      </c>
      <c r="H88" s="2">
        <v>91</v>
      </c>
      <c r="I88" s="2">
        <v>472</v>
      </c>
      <c r="J88" s="2">
        <v>500</v>
      </c>
      <c r="K88" s="2">
        <v>94.4</v>
      </c>
      <c r="L88" s="8">
        <v>28</v>
      </c>
      <c r="M88" s="4">
        <f t="shared" si="1"/>
        <v>5.6000000000000001E-2</v>
      </c>
    </row>
    <row r="89" spans="1:13">
      <c r="A89" s="2" t="s">
        <v>202</v>
      </c>
      <c r="B89" s="2" t="s">
        <v>203</v>
      </c>
      <c r="C89" s="2" t="s">
        <v>39</v>
      </c>
      <c r="D89" s="2">
        <v>91</v>
      </c>
      <c r="E89" s="2">
        <v>141</v>
      </c>
      <c r="F89" s="2">
        <v>42</v>
      </c>
      <c r="G89" s="2">
        <v>52</v>
      </c>
      <c r="H89" s="2">
        <v>52</v>
      </c>
      <c r="I89" s="2">
        <v>378</v>
      </c>
      <c r="J89" s="2">
        <v>500</v>
      </c>
      <c r="K89" s="2">
        <v>75.599999999999994</v>
      </c>
      <c r="L89" s="8">
        <v>122</v>
      </c>
      <c r="M89" s="4">
        <f t="shared" si="1"/>
        <v>0.24399999999999999</v>
      </c>
    </row>
    <row r="90" spans="1:13">
      <c r="A90" s="2" t="s">
        <v>204</v>
      </c>
      <c r="B90" s="2" t="s">
        <v>205</v>
      </c>
      <c r="C90" s="2" t="s">
        <v>67</v>
      </c>
      <c r="D90" s="2">
        <v>107</v>
      </c>
      <c r="E90" s="2">
        <v>54</v>
      </c>
      <c r="F90" s="2">
        <v>114</v>
      </c>
      <c r="G90" s="2">
        <v>66</v>
      </c>
      <c r="H90" s="2">
        <v>150</v>
      </c>
      <c r="I90" s="2">
        <v>491</v>
      </c>
      <c r="J90" s="2">
        <v>500</v>
      </c>
      <c r="K90" s="2">
        <v>98.2</v>
      </c>
      <c r="L90" s="8">
        <v>9</v>
      </c>
      <c r="M90" s="4">
        <f t="shared" si="1"/>
        <v>1.7999999999999999E-2</v>
      </c>
    </row>
    <row r="91" spans="1:13">
      <c r="A91" s="2" t="s">
        <v>206</v>
      </c>
      <c r="B91" s="2" t="s">
        <v>207</v>
      </c>
      <c r="C91" s="2" t="s">
        <v>67</v>
      </c>
      <c r="D91" s="2">
        <v>71</v>
      </c>
      <c r="E91" s="2">
        <v>82</v>
      </c>
      <c r="F91" s="2">
        <v>46</v>
      </c>
      <c r="G91" s="2">
        <v>128</v>
      </c>
      <c r="H91" s="2">
        <v>135</v>
      </c>
      <c r="I91" s="2">
        <v>462</v>
      </c>
      <c r="J91" s="2">
        <v>500</v>
      </c>
      <c r="K91" s="2">
        <v>92.4</v>
      </c>
      <c r="L91" s="8">
        <v>38</v>
      </c>
      <c r="M91" s="4">
        <f t="shared" si="1"/>
        <v>7.5999999999999998E-2</v>
      </c>
    </row>
    <row r="92" spans="1:13">
      <c r="A92" s="2" t="s">
        <v>208</v>
      </c>
      <c r="B92" s="2" t="s">
        <v>209</v>
      </c>
      <c r="C92" s="2" t="s">
        <v>32</v>
      </c>
      <c r="D92" s="2">
        <v>105</v>
      </c>
      <c r="E92" s="2">
        <v>82</v>
      </c>
      <c r="F92" s="2">
        <v>104</v>
      </c>
      <c r="G92" s="2">
        <v>94</v>
      </c>
      <c r="H92" s="2">
        <v>99</v>
      </c>
      <c r="I92" s="2">
        <v>484</v>
      </c>
      <c r="J92" s="2">
        <v>500</v>
      </c>
      <c r="K92" s="2">
        <v>96.8</v>
      </c>
      <c r="L92" s="8">
        <v>16</v>
      </c>
      <c r="M92" s="4">
        <f t="shared" si="1"/>
        <v>3.2000000000000001E-2</v>
      </c>
    </row>
    <row r="93" spans="1:13">
      <c r="A93" s="2" t="s">
        <v>210</v>
      </c>
      <c r="B93" s="2" t="s">
        <v>211</v>
      </c>
      <c r="C93" s="2" t="s">
        <v>46</v>
      </c>
      <c r="D93" s="2">
        <v>105</v>
      </c>
      <c r="E93" s="2">
        <v>82</v>
      </c>
      <c r="F93" s="2">
        <v>110</v>
      </c>
      <c r="G93" s="2">
        <v>105</v>
      </c>
      <c r="H93" s="2">
        <v>139</v>
      </c>
      <c r="I93" s="2">
        <v>541</v>
      </c>
      <c r="J93" s="2">
        <v>500</v>
      </c>
      <c r="K93" s="2">
        <v>108.2</v>
      </c>
      <c r="L93" s="8">
        <v>-41</v>
      </c>
      <c r="M93" s="4">
        <f t="shared" si="1"/>
        <v>0</v>
      </c>
    </row>
    <row r="94" spans="1:13">
      <c r="A94" s="2" t="s">
        <v>212</v>
      </c>
      <c r="B94" s="2" t="s">
        <v>213</v>
      </c>
      <c r="C94" s="2" t="s">
        <v>29</v>
      </c>
      <c r="D94" s="2">
        <v>52</v>
      </c>
      <c r="E94" s="2">
        <v>43</v>
      </c>
      <c r="F94" s="2">
        <v>86</v>
      </c>
      <c r="G94" s="2">
        <v>51</v>
      </c>
      <c r="H94" s="2">
        <v>89</v>
      </c>
      <c r="I94" s="2">
        <v>321</v>
      </c>
      <c r="J94" s="2">
        <v>500</v>
      </c>
      <c r="K94" s="2">
        <v>64.2</v>
      </c>
      <c r="L94" s="8">
        <v>179</v>
      </c>
      <c r="M94" s="4">
        <f t="shared" si="1"/>
        <v>0.35799999999999998</v>
      </c>
    </row>
    <row r="95" spans="1:13">
      <c r="A95" s="2" t="s">
        <v>214</v>
      </c>
      <c r="B95" s="2" t="s">
        <v>215</v>
      </c>
      <c r="C95" s="2" t="s">
        <v>39</v>
      </c>
      <c r="D95" s="2">
        <v>130</v>
      </c>
      <c r="E95" s="2">
        <v>137</v>
      </c>
      <c r="F95" s="2">
        <v>52</v>
      </c>
      <c r="G95" s="2">
        <v>126</v>
      </c>
      <c r="H95" s="2">
        <v>64</v>
      </c>
      <c r="I95" s="2">
        <v>509</v>
      </c>
      <c r="J95" s="2">
        <v>500</v>
      </c>
      <c r="K95" s="2">
        <v>101.8</v>
      </c>
      <c r="L95" s="8">
        <v>-9</v>
      </c>
      <c r="M95" s="4">
        <f t="shared" si="1"/>
        <v>0</v>
      </c>
    </row>
    <row r="96" spans="1:13">
      <c r="A96" s="2" t="s">
        <v>216</v>
      </c>
      <c r="B96" s="2" t="s">
        <v>217</v>
      </c>
      <c r="C96" s="2" t="s">
        <v>39</v>
      </c>
      <c r="D96" s="2">
        <v>108</v>
      </c>
      <c r="E96" s="2">
        <v>112</v>
      </c>
      <c r="F96" s="2">
        <v>56</v>
      </c>
      <c r="G96" s="2">
        <v>81</v>
      </c>
      <c r="H96" s="2">
        <v>119</v>
      </c>
      <c r="I96" s="2">
        <v>476</v>
      </c>
      <c r="J96" s="2">
        <v>500</v>
      </c>
      <c r="K96" s="2">
        <v>95.2</v>
      </c>
      <c r="L96" s="8">
        <v>24</v>
      </c>
      <c r="M96" s="4">
        <f t="shared" si="1"/>
        <v>4.8000000000000001E-2</v>
      </c>
    </row>
    <row r="97" spans="1:13">
      <c r="A97" s="2" t="s">
        <v>218</v>
      </c>
      <c r="B97" s="2" t="s">
        <v>219</v>
      </c>
      <c r="C97" s="2" t="s">
        <v>46</v>
      </c>
      <c r="D97" s="2">
        <v>133</v>
      </c>
      <c r="E97" s="2">
        <v>129</v>
      </c>
      <c r="F97" s="2">
        <v>149</v>
      </c>
      <c r="G97" s="2">
        <v>126</v>
      </c>
      <c r="H97" s="2">
        <v>66</v>
      </c>
      <c r="I97" s="2">
        <v>603</v>
      </c>
      <c r="J97" s="2">
        <v>500</v>
      </c>
      <c r="K97" s="2">
        <v>120.6</v>
      </c>
      <c r="L97" s="8">
        <v>-103</v>
      </c>
      <c r="M97" s="4">
        <f t="shared" si="1"/>
        <v>0</v>
      </c>
    </row>
    <row r="98" spans="1:13">
      <c r="A98" s="2" t="s">
        <v>220</v>
      </c>
      <c r="B98" s="2" t="s">
        <v>221</v>
      </c>
      <c r="C98" s="2" t="s">
        <v>29</v>
      </c>
      <c r="D98" s="2">
        <v>117</v>
      </c>
      <c r="E98" s="2">
        <v>137</v>
      </c>
      <c r="F98" s="2">
        <v>124</v>
      </c>
      <c r="G98" s="2">
        <v>70</v>
      </c>
      <c r="H98" s="2">
        <v>43</v>
      </c>
      <c r="I98" s="2">
        <v>491</v>
      </c>
      <c r="J98" s="2">
        <v>500</v>
      </c>
      <c r="K98" s="2">
        <v>98.2</v>
      </c>
      <c r="L98" s="8">
        <v>9</v>
      </c>
      <c r="M98" s="4">
        <f t="shared" si="1"/>
        <v>1.7999999999999999E-2</v>
      </c>
    </row>
    <row r="99" spans="1:13">
      <c r="A99" s="2" t="s">
        <v>222</v>
      </c>
      <c r="B99" s="2" t="s">
        <v>223</v>
      </c>
      <c r="C99" s="2" t="s">
        <v>39</v>
      </c>
      <c r="D99" s="2">
        <v>108</v>
      </c>
      <c r="E99" s="2">
        <v>70</v>
      </c>
      <c r="F99" s="2">
        <v>124</v>
      </c>
      <c r="G99" s="2">
        <v>145</v>
      </c>
      <c r="H99" s="2">
        <v>48</v>
      </c>
      <c r="I99" s="2">
        <v>495</v>
      </c>
      <c r="J99" s="2">
        <v>500</v>
      </c>
      <c r="K99" s="2">
        <v>99</v>
      </c>
      <c r="L99" s="8">
        <v>5</v>
      </c>
      <c r="M99" s="4">
        <f t="shared" si="1"/>
        <v>0.01</v>
      </c>
    </row>
    <row r="100" spans="1:13">
      <c r="A100" s="2" t="s">
        <v>224</v>
      </c>
      <c r="B100" s="2" t="s">
        <v>225</v>
      </c>
      <c r="C100" s="2" t="s">
        <v>29</v>
      </c>
      <c r="D100" s="2">
        <v>57</v>
      </c>
      <c r="E100" s="2">
        <v>123</v>
      </c>
      <c r="F100" s="2">
        <v>60</v>
      </c>
      <c r="G100" s="2">
        <v>65</v>
      </c>
      <c r="H100" s="2">
        <v>76</v>
      </c>
      <c r="I100" s="2">
        <v>381</v>
      </c>
      <c r="J100" s="2">
        <v>500</v>
      </c>
      <c r="K100" s="2">
        <v>76.2</v>
      </c>
      <c r="L100" s="8">
        <v>119</v>
      </c>
      <c r="M100" s="4">
        <f t="shared" si="1"/>
        <v>0.23799999999999999</v>
      </c>
    </row>
    <row r="101" spans="1:13">
      <c r="A101" s="2" t="s">
        <v>226</v>
      </c>
      <c r="B101" s="2" t="s">
        <v>227</v>
      </c>
      <c r="C101" s="2" t="s">
        <v>46</v>
      </c>
      <c r="D101" s="2">
        <v>61</v>
      </c>
      <c r="E101" s="2">
        <v>115</v>
      </c>
      <c r="F101" s="2">
        <v>63</v>
      </c>
      <c r="G101" s="2">
        <v>91</v>
      </c>
      <c r="H101" s="2">
        <v>150</v>
      </c>
      <c r="I101" s="2">
        <v>480</v>
      </c>
      <c r="J101" s="2">
        <v>500</v>
      </c>
      <c r="K101" s="2">
        <v>96</v>
      </c>
      <c r="L101" s="8">
        <v>20</v>
      </c>
      <c r="M101" s="4">
        <f t="shared" si="1"/>
        <v>0.04</v>
      </c>
    </row>
    <row r="102" spans="1:13">
      <c r="A102" s="2" t="s">
        <v>228</v>
      </c>
      <c r="B102" s="2" t="s">
        <v>5</v>
      </c>
      <c r="C102" s="2" t="s">
        <v>67</v>
      </c>
      <c r="D102" s="2">
        <v>49</v>
      </c>
      <c r="E102" s="2">
        <v>59</v>
      </c>
      <c r="F102" s="2">
        <v>88</v>
      </c>
      <c r="G102" s="2">
        <v>139</v>
      </c>
      <c r="H102" s="2">
        <v>44</v>
      </c>
      <c r="I102" s="2">
        <v>379</v>
      </c>
      <c r="J102" s="2">
        <v>500</v>
      </c>
      <c r="K102" s="2">
        <v>75.8</v>
      </c>
      <c r="L102" s="8">
        <v>121</v>
      </c>
      <c r="M102" s="4">
        <f t="shared" si="1"/>
        <v>0.24199999999999999</v>
      </c>
    </row>
    <row r="103" spans="1:13">
      <c r="A103" s="2" t="s">
        <v>229</v>
      </c>
      <c r="B103" s="2" t="s">
        <v>230</v>
      </c>
      <c r="C103" s="2" t="s">
        <v>67</v>
      </c>
      <c r="D103" s="2">
        <v>140</v>
      </c>
      <c r="E103" s="2">
        <v>57</v>
      </c>
      <c r="F103" s="2">
        <v>118</v>
      </c>
      <c r="G103" s="2">
        <v>120</v>
      </c>
      <c r="H103" s="2">
        <v>60</v>
      </c>
      <c r="I103" s="2">
        <v>495</v>
      </c>
      <c r="J103" s="2">
        <v>500</v>
      </c>
      <c r="K103" s="2">
        <v>99</v>
      </c>
      <c r="L103" s="8">
        <v>5</v>
      </c>
      <c r="M103" s="4">
        <f t="shared" si="1"/>
        <v>0.01</v>
      </c>
    </row>
    <row r="104" spans="1:13">
      <c r="A104" s="2" t="s">
        <v>231</v>
      </c>
      <c r="B104" s="2" t="s">
        <v>232</v>
      </c>
      <c r="C104" s="2" t="s">
        <v>29</v>
      </c>
      <c r="D104" s="2">
        <v>80</v>
      </c>
      <c r="E104" s="2">
        <v>135</v>
      </c>
      <c r="F104" s="2">
        <v>124</v>
      </c>
      <c r="G104" s="2">
        <v>94</v>
      </c>
      <c r="H104" s="2">
        <v>77</v>
      </c>
      <c r="I104" s="2">
        <v>510</v>
      </c>
      <c r="J104" s="2">
        <v>500</v>
      </c>
      <c r="K104" s="2">
        <v>102</v>
      </c>
      <c r="L104" s="8">
        <v>-10</v>
      </c>
      <c r="M104" s="4">
        <f t="shared" si="1"/>
        <v>0</v>
      </c>
    </row>
    <row r="105" spans="1:13">
      <c r="A105" s="2" t="s">
        <v>233</v>
      </c>
      <c r="B105" s="2" t="s">
        <v>234</v>
      </c>
      <c r="C105" s="2" t="s">
        <v>29</v>
      </c>
      <c r="D105" s="2">
        <v>140</v>
      </c>
      <c r="E105" s="2">
        <v>67</v>
      </c>
      <c r="F105" s="2">
        <v>112</v>
      </c>
      <c r="G105" s="2">
        <v>51</v>
      </c>
      <c r="H105" s="2">
        <v>123</v>
      </c>
      <c r="I105" s="2">
        <v>493</v>
      </c>
      <c r="J105" s="2">
        <v>500</v>
      </c>
      <c r="K105" s="2">
        <v>98.6</v>
      </c>
      <c r="L105" s="8">
        <v>7</v>
      </c>
      <c r="M105" s="4">
        <f t="shared" si="1"/>
        <v>1.4E-2</v>
      </c>
    </row>
    <row r="106" spans="1:13">
      <c r="A106" s="2" t="s">
        <v>235</v>
      </c>
      <c r="B106" s="2" t="s">
        <v>236</v>
      </c>
      <c r="C106" s="2" t="s">
        <v>46</v>
      </c>
      <c r="D106" s="2">
        <v>42</v>
      </c>
      <c r="E106" s="2">
        <v>52</v>
      </c>
      <c r="F106" s="2">
        <v>114</v>
      </c>
      <c r="G106" s="2">
        <v>130</v>
      </c>
      <c r="H106" s="2">
        <v>78</v>
      </c>
      <c r="I106" s="2">
        <v>416</v>
      </c>
      <c r="J106" s="2">
        <v>500</v>
      </c>
      <c r="K106" s="2">
        <v>83.2</v>
      </c>
      <c r="L106" s="8">
        <v>84</v>
      </c>
      <c r="M106" s="4">
        <f t="shared" si="1"/>
        <v>0.16800000000000001</v>
      </c>
    </row>
    <row r="107" spans="1:13">
      <c r="A107" s="2" t="s">
        <v>237</v>
      </c>
      <c r="B107" s="2" t="s">
        <v>238</v>
      </c>
      <c r="C107" s="2" t="s">
        <v>39</v>
      </c>
      <c r="D107" s="2">
        <v>139</v>
      </c>
      <c r="E107" s="2">
        <v>113</v>
      </c>
      <c r="F107" s="2">
        <v>87</v>
      </c>
      <c r="G107" s="2">
        <v>106</v>
      </c>
      <c r="H107" s="2">
        <v>143</v>
      </c>
      <c r="I107" s="2">
        <v>588</v>
      </c>
      <c r="J107" s="2">
        <v>500</v>
      </c>
      <c r="K107" s="2">
        <v>117.6</v>
      </c>
      <c r="L107" s="8">
        <v>-88</v>
      </c>
      <c r="M107" s="4">
        <f t="shared" si="1"/>
        <v>0</v>
      </c>
    </row>
    <row r="108" spans="1:13">
      <c r="A108" s="2" t="s">
        <v>239</v>
      </c>
      <c r="B108" s="2" t="s">
        <v>240</v>
      </c>
      <c r="C108" s="2" t="s">
        <v>67</v>
      </c>
      <c r="D108" s="2">
        <v>123</v>
      </c>
      <c r="E108" s="2">
        <v>83</v>
      </c>
      <c r="F108" s="2">
        <v>41</v>
      </c>
      <c r="G108" s="2">
        <v>120</v>
      </c>
      <c r="H108" s="2">
        <v>96</v>
      </c>
      <c r="I108" s="2">
        <v>463</v>
      </c>
      <c r="J108" s="2">
        <v>500</v>
      </c>
      <c r="K108" s="2">
        <v>92.6</v>
      </c>
      <c r="L108" s="8">
        <v>37</v>
      </c>
      <c r="M108" s="4">
        <f t="shared" si="1"/>
        <v>7.3999999999999996E-2</v>
      </c>
    </row>
    <row r="109" spans="1:13">
      <c r="A109" s="2" t="s">
        <v>241</v>
      </c>
      <c r="B109" s="2" t="s">
        <v>242</v>
      </c>
      <c r="C109" s="2" t="s">
        <v>39</v>
      </c>
      <c r="D109" s="2">
        <v>134</v>
      </c>
      <c r="E109" s="2">
        <v>44</v>
      </c>
      <c r="F109" s="2">
        <v>60</v>
      </c>
      <c r="G109" s="2">
        <v>68</v>
      </c>
      <c r="H109" s="2">
        <v>116</v>
      </c>
      <c r="I109" s="2">
        <v>422</v>
      </c>
      <c r="J109" s="2">
        <v>500</v>
      </c>
      <c r="K109" s="2">
        <v>84.4</v>
      </c>
      <c r="L109" s="8">
        <v>78</v>
      </c>
      <c r="M109" s="4">
        <f t="shared" si="1"/>
        <v>0.156</v>
      </c>
    </row>
    <row r="110" spans="1:13">
      <c r="A110" s="2" t="s">
        <v>243</v>
      </c>
      <c r="B110" s="2" t="s">
        <v>244</v>
      </c>
      <c r="C110" s="2" t="s">
        <v>29</v>
      </c>
      <c r="D110" s="2">
        <v>89</v>
      </c>
      <c r="E110" s="2">
        <v>132</v>
      </c>
      <c r="F110" s="2">
        <v>53</v>
      </c>
      <c r="G110" s="2">
        <v>106</v>
      </c>
      <c r="H110" s="2">
        <v>121</v>
      </c>
      <c r="I110" s="2">
        <v>501</v>
      </c>
      <c r="J110" s="2">
        <v>500</v>
      </c>
      <c r="K110" s="2">
        <v>100.2</v>
      </c>
      <c r="L110" s="8">
        <v>-1</v>
      </c>
      <c r="M110" s="4">
        <f t="shared" si="1"/>
        <v>0</v>
      </c>
    </row>
    <row r="111" spans="1:13">
      <c r="A111" s="2" t="s">
        <v>245</v>
      </c>
      <c r="B111" s="2" t="s">
        <v>246</v>
      </c>
      <c r="C111" s="2" t="s">
        <v>46</v>
      </c>
      <c r="D111" s="2">
        <v>107</v>
      </c>
      <c r="E111" s="2">
        <v>54</v>
      </c>
      <c r="F111" s="2">
        <v>59</v>
      </c>
      <c r="G111" s="2">
        <v>101</v>
      </c>
      <c r="H111" s="2">
        <v>55</v>
      </c>
      <c r="I111" s="2">
        <v>376</v>
      </c>
      <c r="J111" s="2">
        <v>500</v>
      </c>
      <c r="K111" s="2">
        <v>75.2</v>
      </c>
      <c r="L111" s="8">
        <v>124</v>
      </c>
      <c r="M111" s="4">
        <f t="shared" si="1"/>
        <v>0.248</v>
      </c>
    </row>
    <row r="112" spans="1:13">
      <c r="A112" s="2" t="s">
        <v>247</v>
      </c>
      <c r="B112" s="2" t="s">
        <v>248</v>
      </c>
      <c r="C112" s="2" t="s">
        <v>39</v>
      </c>
      <c r="D112" s="2">
        <v>43</v>
      </c>
      <c r="E112" s="2">
        <v>45</v>
      </c>
      <c r="F112" s="2">
        <v>79</v>
      </c>
      <c r="G112" s="2">
        <v>120</v>
      </c>
      <c r="H112" s="2">
        <v>150</v>
      </c>
      <c r="I112" s="2">
        <v>437</v>
      </c>
      <c r="J112" s="2">
        <v>500</v>
      </c>
      <c r="K112" s="2">
        <v>87.4</v>
      </c>
      <c r="L112" s="8">
        <v>63</v>
      </c>
      <c r="M112" s="4">
        <f t="shared" si="1"/>
        <v>0.126</v>
      </c>
    </row>
    <row r="113" spans="1:13">
      <c r="A113" s="2" t="s">
        <v>249</v>
      </c>
      <c r="B113" s="2" t="s">
        <v>250</v>
      </c>
      <c r="C113" s="2" t="s">
        <v>32</v>
      </c>
      <c r="D113" s="2">
        <v>93</v>
      </c>
      <c r="E113" s="2">
        <v>136</v>
      </c>
      <c r="F113" s="2">
        <v>131</v>
      </c>
      <c r="G113" s="2">
        <v>100</v>
      </c>
      <c r="H113" s="2">
        <v>88</v>
      </c>
      <c r="I113" s="2">
        <v>548</v>
      </c>
      <c r="J113" s="2">
        <v>500</v>
      </c>
      <c r="K113" s="2">
        <v>109.6</v>
      </c>
      <c r="L113" s="8">
        <v>-48</v>
      </c>
      <c r="M113" s="4">
        <f t="shared" si="1"/>
        <v>0</v>
      </c>
    </row>
    <row r="114" spans="1:13">
      <c r="A114" s="2" t="s">
        <v>251</v>
      </c>
      <c r="B114" s="2" t="s">
        <v>252</v>
      </c>
      <c r="C114" s="2" t="s">
        <v>67</v>
      </c>
      <c r="D114" s="2">
        <v>139</v>
      </c>
      <c r="E114" s="2">
        <v>56</v>
      </c>
      <c r="F114" s="2">
        <v>76</v>
      </c>
      <c r="G114" s="2">
        <v>108</v>
      </c>
      <c r="H114" s="2">
        <v>108</v>
      </c>
      <c r="I114" s="2">
        <v>487</v>
      </c>
      <c r="J114" s="2">
        <v>500</v>
      </c>
      <c r="K114" s="2">
        <v>97.4</v>
      </c>
      <c r="L114" s="8">
        <v>13</v>
      </c>
      <c r="M114" s="4">
        <f t="shared" si="1"/>
        <v>2.5999999999999999E-2</v>
      </c>
    </row>
    <row r="115" spans="1:13">
      <c r="A115" s="2" t="s">
        <v>253</v>
      </c>
      <c r="B115" s="2" t="s">
        <v>254</v>
      </c>
      <c r="C115" s="2" t="s">
        <v>32</v>
      </c>
      <c r="D115" s="2">
        <v>91</v>
      </c>
      <c r="E115" s="2">
        <v>57</v>
      </c>
      <c r="F115" s="2">
        <v>113</v>
      </c>
      <c r="G115" s="2">
        <v>104</v>
      </c>
      <c r="H115" s="2">
        <v>80</v>
      </c>
      <c r="I115" s="2">
        <v>445</v>
      </c>
      <c r="J115" s="2">
        <v>500</v>
      </c>
      <c r="K115" s="2">
        <v>89</v>
      </c>
      <c r="L115" s="8">
        <v>55</v>
      </c>
      <c r="M115" s="4">
        <f t="shared" si="1"/>
        <v>0.11</v>
      </c>
    </row>
    <row r="116" spans="1:13">
      <c r="A116" s="2" t="s">
        <v>255</v>
      </c>
      <c r="B116" s="2" t="s">
        <v>256</v>
      </c>
      <c r="C116" s="2" t="s">
        <v>39</v>
      </c>
      <c r="D116" s="2">
        <v>78</v>
      </c>
      <c r="E116" s="2">
        <v>68</v>
      </c>
      <c r="F116" s="2">
        <v>49</v>
      </c>
      <c r="G116" s="2">
        <v>106</v>
      </c>
      <c r="H116" s="2">
        <v>68</v>
      </c>
      <c r="I116" s="2">
        <v>369</v>
      </c>
      <c r="J116" s="2">
        <v>500</v>
      </c>
      <c r="K116" s="2">
        <v>73.8</v>
      </c>
      <c r="L116" s="8">
        <v>131</v>
      </c>
      <c r="M116" s="4">
        <f t="shared" si="1"/>
        <v>0.26200000000000001</v>
      </c>
    </row>
    <row r="117" spans="1:13">
      <c r="A117" s="2" t="s">
        <v>257</v>
      </c>
      <c r="B117" s="2" t="s">
        <v>258</v>
      </c>
      <c r="C117" s="2" t="s">
        <v>32</v>
      </c>
      <c r="D117" s="2">
        <v>56</v>
      </c>
      <c r="E117" s="2">
        <v>102</v>
      </c>
      <c r="F117" s="2">
        <v>109</v>
      </c>
      <c r="G117" s="2">
        <v>104</v>
      </c>
      <c r="H117" s="2">
        <v>44</v>
      </c>
      <c r="I117" s="2">
        <v>415</v>
      </c>
      <c r="J117" s="2">
        <v>500</v>
      </c>
      <c r="K117" s="2">
        <v>83</v>
      </c>
      <c r="L117" s="8">
        <v>85</v>
      </c>
      <c r="M117" s="4">
        <f t="shared" si="1"/>
        <v>0.17</v>
      </c>
    </row>
    <row r="118" spans="1:13">
      <c r="A118" s="2" t="s">
        <v>259</v>
      </c>
      <c r="B118" s="2" t="s">
        <v>260</v>
      </c>
      <c r="C118" s="2" t="s">
        <v>46</v>
      </c>
      <c r="D118" s="2">
        <v>136</v>
      </c>
      <c r="E118" s="2">
        <v>148</v>
      </c>
      <c r="F118" s="2">
        <v>146</v>
      </c>
      <c r="G118" s="2">
        <v>60</v>
      </c>
      <c r="H118" s="2">
        <v>137</v>
      </c>
      <c r="I118" s="2">
        <v>627</v>
      </c>
      <c r="J118" s="2">
        <v>500</v>
      </c>
      <c r="K118" s="2">
        <v>125.4</v>
      </c>
      <c r="L118" s="8">
        <v>-127</v>
      </c>
      <c r="M118" s="4">
        <f t="shared" si="1"/>
        <v>0</v>
      </c>
    </row>
    <row r="119" spans="1:13">
      <c r="A119" s="2" t="s">
        <v>261</v>
      </c>
      <c r="B119" s="2" t="s">
        <v>262</v>
      </c>
      <c r="C119" s="2" t="s">
        <v>39</v>
      </c>
      <c r="D119" s="2">
        <v>42</v>
      </c>
      <c r="E119" s="2">
        <v>118</v>
      </c>
      <c r="F119" s="2">
        <v>52</v>
      </c>
      <c r="G119" s="2">
        <v>114</v>
      </c>
      <c r="H119" s="2">
        <v>41</v>
      </c>
      <c r="I119" s="2">
        <v>367</v>
      </c>
      <c r="J119" s="2">
        <v>500</v>
      </c>
      <c r="K119" s="2">
        <v>73.400000000000006</v>
      </c>
      <c r="L119" s="8">
        <v>133</v>
      </c>
      <c r="M119" s="4">
        <f t="shared" si="1"/>
        <v>0.26600000000000001</v>
      </c>
    </row>
    <row r="120" spans="1:13">
      <c r="A120" s="2" t="s">
        <v>263</v>
      </c>
      <c r="B120" s="2" t="s">
        <v>264</v>
      </c>
      <c r="C120" s="2" t="s">
        <v>39</v>
      </c>
      <c r="D120" s="2">
        <v>140</v>
      </c>
      <c r="E120" s="2">
        <v>79</v>
      </c>
      <c r="F120" s="2">
        <v>147</v>
      </c>
      <c r="G120" s="2">
        <v>129</v>
      </c>
      <c r="H120" s="2">
        <v>143</v>
      </c>
      <c r="I120" s="2">
        <v>638</v>
      </c>
      <c r="J120" s="2">
        <v>500</v>
      </c>
      <c r="K120" s="2">
        <v>127.6</v>
      </c>
      <c r="L120" s="8">
        <v>-138</v>
      </c>
      <c r="M120" s="4">
        <f t="shared" si="1"/>
        <v>0</v>
      </c>
    </row>
    <row r="121" spans="1:13">
      <c r="A121" s="2" t="s">
        <v>265</v>
      </c>
      <c r="B121" s="2" t="s">
        <v>266</v>
      </c>
      <c r="C121" s="2" t="s">
        <v>46</v>
      </c>
      <c r="D121" s="2">
        <v>112</v>
      </c>
      <c r="E121" s="2">
        <v>148</v>
      </c>
      <c r="F121" s="2">
        <v>55</v>
      </c>
      <c r="G121" s="2">
        <v>63</v>
      </c>
      <c r="H121" s="2">
        <v>64</v>
      </c>
      <c r="I121" s="2">
        <v>442</v>
      </c>
      <c r="J121" s="2">
        <v>500</v>
      </c>
      <c r="K121" s="2">
        <v>88.4</v>
      </c>
      <c r="L121" s="8">
        <v>58</v>
      </c>
      <c r="M121" s="4">
        <f t="shared" si="1"/>
        <v>0.11600000000000001</v>
      </c>
    </row>
    <row r="122" spans="1:13">
      <c r="A122" s="2" t="s">
        <v>267</v>
      </c>
      <c r="B122" s="2" t="s">
        <v>11</v>
      </c>
      <c r="C122" s="2" t="s">
        <v>67</v>
      </c>
      <c r="D122" s="2">
        <v>57</v>
      </c>
      <c r="E122" s="2">
        <v>100</v>
      </c>
      <c r="F122" s="2">
        <v>50</v>
      </c>
      <c r="G122" s="2">
        <v>78</v>
      </c>
      <c r="H122" s="2">
        <v>50</v>
      </c>
      <c r="I122" s="2">
        <v>335</v>
      </c>
      <c r="J122" s="2">
        <v>500</v>
      </c>
      <c r="K122" s="2">
        <v>67</v>
      </c>
      <c r="L122" s="8">
        <v>165</v>
      </c>
      <c r="M122" s="4">
        <f t="shared" si="1"/>
        <v>0.33</v>
      </c>
    </row>
    <row r="123" spans="1:13">
      <c r="A123" s="2" t="s">
        <v>268</v>
      </c>
      <c r="B123" s="2" t="s">
        <v>269</v>
      </c>
      <c r="C123" s="2" t="s">
        <v>29</v>
      </c>
      <c r="D123" s="2">
        <v>150</v>
      </c>
      <c r="E123" s="2">
        <v>110</v>
      </c>
      <c r="F123" s="2">
        <v>121</v>
      </c>
      <c r="G123" s="2">
        <v>100</v>
      </c>
      <c r="H123" s="2">
        <v>120</v>
      </c>
      <c r="I123" s="2">
        <v>601</v>
      </c>
      <c r="J123" s="2">
        <v>500</v>
      </c>
      <c r="K123" s="2">
        <v>120.2</v>
      </c>
      <c r="L123" s="8">
        <v>-101</v>
      </c>
      <c r="M123" s="4">
        <f t="shared" si="1"/>
        <v>0</v>
      </c>
    </row>
    <row r="124" spans="1:13">
      <c r="A124" s="2" t="s">
        <v>270</v>
      </c>
      <c r="B124" s="2" t="s">
        <v>271</v>
      </c>
      <c r="C124" s="2" t="s">
        <v>46</v>
      </c>
      <c r="D124" s="2">
        <v>89</v>
      </c>
      <c r="E124" s="2">
        <v>134</v>
      </c>
      <c r="F124" s="2">
        <v>138</v>
      </c>
      <c r="G124" s="2">
        <v>72</v>
      </c>
      <c r="H124" s="2">
        <v>80</v>
      </c>
      <c r="I124" s="2">
        <v>513</v>
      </c>
      <c r="J124" s="2">
        <v>500</v>
      </c>
      <c r="K124" s="2">
        <v>102.6</v>
      </c>
      <c r="L124" s="8">
        <v>-13</v>
      </c>
      <c r="M124" s="4">
        <f t="shared" si="1"/>
        <v>0</v>
      </c>
    </row>
    <row r="125" spans="1:13">
      <c r="A125" s="2" t="s">
        <v>272</v>
      </c>
      <c r="B125" s="2" t="s">
        <v>273</v>
      </c>
      <c r="C125" s="2" t="s">
        <v>67</v>
      </c>
      <c r="D125" s="2">
        <v>65</v>
      </c>
      <c r="E125" s="2">
        <v>90</v>
      </c>
      <c r="F125" s="2">
        <v>100</v>
      </c>
      <c r="G125" s="2">
        <v>139</v>
      </c>
      <c r="H125" s="2">
        <v>132</v>
      </c>
      <c r="I125" s="2">
        <v>526</v>
      </c>
      <c r="J125" s="2">
        <v>500</v>
      </c>
      <c r="K125" s="2">
        <v>105.2</v>
      </c>
      <c r="L125" s="8">
        <v>-26</v>
      </c>
      <c r="M125" s="4">
        <f t="shared" si="1"/>
        <v>0</v>
      </c>
    </row>
    <row r="126" spans="1:13">
      <c r="A126" s="2" t="s">
        <v>274</v>
      </c>
      <c r="B126" s="2" t="s">
        <v>275</v>
      </c>
      <c r="C126" s="2" t="s">
        <v>32</v>
      </c>
      <c r="D126" s="2">
        <v>61</v>
      </c>
      <c r="E126" s="2">
        <v>103</v>
      </c>
      <c r="F126" s="2">
        <v>67</v>
      </c>
      <c r="G126" s="2">
        <v>71</v>
      </c>
      <c r="H126" s="2">
        <v>147</v>
      </c>
      <c r="I126" s="2">
        <v>449</v>
      </c>
      <c r="J126" s="2">
        <v>500</v>
      </c>
      <c r="K126" s="2">
        <v>89.8</v>
      </c>
      <c r="L126" s="8">
        <v>51</v>
      </c>
      <c r="M126" s="4">
        <f t="shared" si="1"/>
        <v>0.10199999999999999</v>
      </c>
    </row>
    <row r="127" spans="1:13">
      <c r="A127" s="2" t="s">
        <v>276</v>
      </c>
      <c r="B127" s="2" t="s">
        <v>277</v>
      </c>
      <c r="C127" s="2" t="s">
        <v>29</v>
      </c>
      <c r="D127" s="2">
        <v>63</v>
      </c>
      <c r="E127" s="2">
        <v>98</v>
      </c>
      <c r="F127" s="2">
        <v>57</v>
      </c>
      <c r="G127" s="2">
        <v>49</v>
      </c>
      <c r="H127" s="2">
        <v>134</v>
      </c>
      <c r="I127" s="2">
        <v>401</v>
      </c>
      <c r="J127" s="2">
        <v>500</v>
      </c>
      <c r="K127" s="2">
        <v>80.2</v>
      </c>
      <c r="L127" s="8">
        <v>99</v>
      </c>
      <c r="M127" s="4">
        <f t="shared" si="1"/>
        <v>0.19800000000000001</v>
      </c>
    </row>
    <row r="128" spans="1:13">
      <c r="A128" s="2" t="s">
        <v>278</v>
      </c>
      <c r="B128" s="2" t="s">
        <v>279</v>
      </c>
      <c r="C128" s="2" t="s">
        <v>32</v>
      </c>
      <c r="D128" s="2">
        <v>42</v>
      </c>
      <c r="E128" s="2">
        <v>110</v>
      </c>
      <c r="F128" s="2">
        <v>81</v>
      </c>
      <c r="G128" s="2">
        <v>45</v>
      </c>
      <c r="H128" s="2">
        <v>115</v>
      </c>
      <c r="I128" s="2">
        <v>393</v>
      </c>
      <c r="J128" s="2">
        <v>500</v>
      </c>
      <c r="K128" s="2">
        <v>78.599999999999994</v>
      </c>
      <c r="L128" s="8">
        <v>107</v>
      </c>
      <c r="M128" s="4">
        <f t="shared" si="1"/>
        <v>0.214</v>
      </c>
    </row>
    <row r="129" spans="1:13">
      <c r="A129" s="2" t="s">
        <v>280</v>
      </c>
      <c r="B129" s="2" t="s">
        <v>281</v>
      </c>
      <c r="C129" s="2" t="s">
        <v>46</v>
      </c>
      <c r="D129" s="2">
        <v>142</v>
      </c>
      <c r="E129" s="2">
        <v>139</v>
      </c>
      <c r="F129" s="2">
        <v>147</v>
      </c>
      <c r="G129" s="2">
        <v>67</v>
      </c>
      <c r="H129" s="2">
        <v>91</v>
      </c>
      <c r="I129" s="2">
        <v>586</v>
      </c>
      <c r="J129" s="2">
        <v>500</v>
      </c>
      <c r="K129" s="2">
        <v>117.2</v>
      </c>
      <c r="L129" s="8">
        <v>-86</v>
      </c>
      <c r="M129" s="4">
        <f t="shared" si="1"/>
        <v>0</v>
      </c>
    </row>
    <row r="130" spans="1:13">
      <c r="A130" s="2" t="s">
        <v>282</v>
      </c>
      <c r="B130" s="2" t="s">
        <v>283</v>
      </c>
      <c r="C130" s="2" t="s">
        <v>39</v>
      </c>
      <c r="D130" s="2">
        <v>61</v>
      </c>
      <c r="E130" s="2">
        <v>140</v>
      </c>
      <c r="F130" s="2">
        <v>62</v>
      </c>
      <c r="G130" s="2">
        <v>88</v>
      </c>
      <c r="H130" s="2">
        <v>143</v>
      </c>
      <c r="I130" s="2">
        <v>494</v>
      </c>
      <c r="J130" s="2">
        <v>500</v>
      </c>
      <c r="K130" s="2">
        <v>98.8</v>
      </c>
      <c r="L130" s="8">
        <v>6</v>
      </c>
      <c r="M130" s="4">
        <f t="shared" si="1"/>
        <v>1.2E-2</v>
      </c>
    </row>
    <row r="131" spans="1:13">
      <c r="A131" s="2" t="s">
        <v>284</v>
      </c>
      <c r="B131" s="2" t="s">
        <v>285</v>
      </c>
      <c r="C131" s="2" t="s">
        <v>32</v>
      </c>
      <c r="D131" s="2">
        <v>79</v>
      </c>
      <c r="E131" s="2">
        <v>76</v>
      </c>
      <c r="F131" s="2">
        <v>63</v>
      </c>
      <c r="G131" s="2">
        <v>123</v>
      </c>
      <c r="H131" s="2">
        <v>57</v>
      </c>
      <c r="I131" s="2">
        <v>398</v>
      </c>
      <c r="J131" s="2">
        <v>500</v>
      </c>
      <c r="K131" s="2">
        <v>79.599999999999994</v>
      </c>
      <c r="L131" s="8">
        <v>102</v>
      </c>
      <c r="M131" s="4">
        <f t="shared" ref="M131:M194" si="2">MAX(0,L131/J131)</f>
        <v>0.20399999999999999</v>
      </c>
    </row>
    <row r="132" spans="1:13">
      <c r="A132" s="2" t="s">
        <v>286</v>
      </c>
      <c r="B132" s="2" t="s">
        <v>287</v>
      </c>
      <c r="C132" s="2" t="s">
        <v>29</v>
      </c>
      <c r="D132" s="2">
        <v>142</v>
      </c>
      <c r="E132" s="2">
        <v>146</v>
      </c>
      <c r="F132" s="2">
        <v>105</v>
      </c>
      <c r="G132" s="2">
        <v>71</v>
      </c>
      <c r="H132" s="2">
        <v>149</v>
      </c>
      <c r="I132" s="2">
        <v>613</v>
      </c>
      <c r="J132" s="2">
        <v>500</v>
      </c>
      <c r="K132" s="2">
        <v>122.6</v>
      </c>
      <c r="L132" s="8">
        <v>-113</v>
      </c>
      <c r="M132" s="4">
        <f t="shared" si="2"/>
        <v>0</v>
      </c>
    </row>
    <row r="133" spans="1:13">
      <c r="A133" s="2" t="s">
        <v>288</v>
      </c>
      <c r="B133" s="2" t="s">
        <v>289</v>
      </c>
      <c r="C133" s="2" t="s">
        <v>32</v>
      </c>
      <c r="D133" s="2">
        <v>128</v>
      </c>
      <c r="E133" s="2">
        <v>43</v>
      </c>
      <c r="F133" s="2">
        <v>41</v>
      </c>
      <c r="G133" s="2">
        <v>108</v>
      </c>
      <c r="H133" s="2">
        <v>120</v>
      </c>
      <c r="I133" s="2">
        <v>440</v>
      </c>
      <c r="J133" s="2">
        <v>500</v>
      </c>
      <c r="K133" s="2">
        <v>88</v>
      </c>
      <c r="L133" s="8">
        <v>60</v>
      </c>
      <c r="M133" s="4">
        <f t="shared" si="2"/>
        <v>0.12</v>
      </c>
    </row>
    <row r="134" spans="1:13">
      <c r="A134" s="2" t="s">
        <v>290</v>
      </c>
      <c r="B134" s="2" t="s">
        <v>291</v>
      </c>
      <c r="C134" s="2" t="s">
        <v>46</v>
      </c>
      <c r="D134" s="2">
        <v>64</v>
      </c>
      <c r="E134" s="2">
        <v>120</v>
      </c>
      <c r="F134" s="2">
        <v>101</v>
      </c>
      <c r="G134" s="2">
        <v>148</v>
      </c>
      <c r="H134" s="2">
        <v>46</v>
      </c>
      <c r="I134" s="2">
        <v>479</v>
      </c>
      <c r="J134" s="2">
        <v>500</v>
      </c>
      <c r="K134" s="2">
        <v>95.8</v>
      </c>
      <c r="L134" s="8">
        <v>21</v>
      </c>
      <c r="M134" s="4">
        <f t="shared" si="2"/>
        <v>4.2000000000000003E-2</v>
      </c>
    </row>
    <row r="135" spans="1:13">
      <c r="A135" s="2" t="s">
        <v>292</v>
      </c>
      <c r="B135" s="2" t="s">
        <v>293</v>
      </c>
      <c r="C135" s="2" t="s">
        <v>39</v>
      </c>
      <c r="D135" s="2">
        <v>64</v>
      </c>
      <c r="E135" s="2">
        <v>132</v>
      </c>
      <c r="F135" s="2">
        <v>135</v>
      </c>
      <c r="G135" s="2">
        <v>89</v>
      </c>
      <c r="H135" s="2">
        <v>134</v>
      </c>
      <c r="I135" s="2">
        <v>554</v>
      </c>
      <c r="J135" s="2">
        <v>500</v>
      </c>
      <c r="K135" s="2">
        <v>110.8</v>
      </c>
      <c r="L135" s="8">
        <v>-54</v>
      </c>
      <c r="M135" s="4">
        <f t="shared" si="2"/>
        <v>0</v>
      </c>
    </row>
    <row r="136" spans="1:13">
      <c r="A136" s="2" t="s">
        <v>294</v>
      </c>
      <c r="B136" s="2" t="s">
        <v>295</v>
      </c>
      <c r="C136" s="2" t="s">
        <v>46</v>
      </c>
      <c r="D136" s="2">
        <v>55</v>
      </c>
      <c r="E136" s="2">
        <v>131</v>
      </c>
      <c r="F136" s="2">
        <v>87</v>
      </c>
      <c r="G136" s="2">
        <v>125</v>
      </c>
      <c r="H136" s="2">
        <v>105</v>
      </c>
      <c r="I136" s="2">
        <v>503</v>
      </c>
      <c r="J136" s="2">
        <v>500</v>
      </c>
      <c r="K136" s="2">
        <v>100.6</v>
      </c>
      <c r="L136" s="8">
        <v>-3</v>
      </c>
      <c r="M136" s="4">
        <f t="shared" si="2"/>
        <v>0</v>
      </c>
    </row>
    <row r="137" spans="1:13">
      <c r="A137" s="2" t="s">
        <v>296</v>
      </c>
      <c r="B137" s="2" t="s">
        <v>297</v>
      </c>
      <c r="C137" s="2" t="s">
        <v>67</v>
      </c>
      <c r="D137" s="2">
        <v>122</v>
      </c>
      <c r="E137" s="2">
        <v>56</v>
      </c>
      <c r="F137" s="2">
        <v>104</v>
      </c>
      <c r="G137" s="2">
        <v>75</v>
      </c>
      <c r="H137" s="2">
        <v>59</v>
      </c>
      <c r="I137" s="2">
        <v>416</v>
      </c>
      <c r="J137" s="2">
        <v>500</v>
      </c>
      <c r="K137" s="2">
        <v>83.2</v>
      </c>
      <c r="L137" s="8">
        <v>84</v>
      </c>
      <c r="M137" s="4">
        <f t="shared" si="2"/>
        <v>0.16800000000000001</v>
      </c>
    </row>
    <row r="138" spans="1:13">
      <c r="A138" s="2" t="s">
        <v>298</v>
      </c>
      <c r="B138" s="2" t="s">
        <v>299</v>
      </c>
      <c r="C138" s="2" t="s">
        <v>67</v>
      </c>
      <c r="D138" s="2">
        <v>136</v>
      </c>
      <c r="E138" s="2">
        <v>123</v>
      </c>
      <c r="F138" s="2">
        <v>64</v>
      </c>
      <c r="G138" s="2">
        <v>118</v>
      </c>
      <c r="H138" s="2">
        <v>98</v>
      </c>
      <c r="I138" s="2">
        <v>539</v>
      </c>
      <c r="J138" s="2">
        <v>500</v>
      </c>
      <c r="K138" s="2">
        <v>107.8</v>
      </c>
      <c r="L138" s="8">
        <v>-39</v>
      </c>
      <c r="M138" s="4">
        <f t="shared" si="2"/>
        <v>0</v>
      </c>
    </row>
    <row r="139" spans="1:13">
      <c r="A139" s="2" t="s">
        <v>300</v>
      </c>
      <c r="B139" s="2" t="s">
        <v>301</v>
      </c>
      <c r="C139" s="2" t="s">
        <v>67</v>
      </c>
      <c r="D139" s="2">
        <v>55</v>
      </c>
      <c r="E139" s="2">
        <v>94</v>
      </c>
      <c r="F139" s="2">
        <v>45</v>
      </c>
      <c r="G139" s="2">
        <v>131</v>
      </c>
      <c r="H139" s="2">
        <v>144</v>
      </c>
      <c r="I139" s="2">
        <v>469</v>
      </c>
      <c r="J139" s="2">
        <v>500</v>
      </c>
      <c r="K139" s="2">
        <v>93.8</v>
      </c>
      <c r="L139" s="8">
        <v>31</v>
      </c>
      <c r="M139" s="4">
        <f t="shared" si="2"/>
        <v>6.2E-2</v>
      </c>
    </row>
    <row r="140" spans="1:13">
      <c r="A140" s="2" t="s">
        <v>302</v>
      </c>
      <c r="B140" s="2" t="s">
        <v>303</v>
      </c>
      <c r="C140" s="2" t="s">
        <v>32</v>
      </c>
      <c r="D140" s="2">
        <v>141</v>
      </c>
      <c r="E140" s="2">
        <v>118</v>
      </c>
      <c r="F140" s="2">
        <v>113</v>
      </c>
      <c r="G140" s="2">
        <v>131</v>
      </c>
      <c r="H140" s="2">
        <v>42</v>
      </c>
      <c r="I140" s="2">
        <v>545</v>
      </c>
      <c r="J140" s="2">
        <v>500</v>
      </c>
      <c r="K140" s="2">
        <v>109</v>
      </c>
      <c r="L140" s="8">
        <v>-45</v>
      </c>
      <c r="M140" s="4">
        <f t="shared" si="2"/>
        <v>0</v>
      </c>
    </row>
    <row r="141" spans="1:13">
      <c r="A141" s="2" t="s">
        <v>304</v>
      </c>
      <c r="B141" s="2" t="s">
        <v>305</v>
      </c>
      <c r="C141" s="2" t="s">
        <v>46</v>
      </c>
      <c r="D141" s="2">
        <v>143</v>
      </c>
      <c r="E141" s="2">
        <v>93</v>
      </c>
      <c r="F141" s="2">
        <v>150</v>
      </c>
      <c r="G141" s="2">
        <v>131</v>
      </c>
      <c r="H141" s="2">
        <v>134</v>
      </c>
      <c r="I141" s="2">
        <v>651</v>
      </c>
      <c r="J141" s="2">
        <v>500</v>
      </c>
      <c r="K141" s="2">
        <v>130.19999999999999</v>
      </c>
      <c r="L141" s="8">
        <v>-151</v>
      </c>
      <c r="M141" s="4">
        <f t="shared" si="2"/>
        <v>0</v>
      </c>
    </row>
    <row r="142" spans="1:13">
      <c r="A142" s="2" t="s">
        <v>306</v>
      </c>
      <c r="B142" s="2" t="s">
        <v>4</v>
      </c>
      <c r="C142" s="2" t="s">
        <v>67</v>
      </c>
      <c r="D142" s="2">
        <v>138</v>
      </c>
      <c r="E142" s="2">
        <v>139</v>
      </c>
      <c r="F142" s="2">
        <v>110</v>
      </c>
      <c r="G142" s="2">
        <v>101</v>
      </c>
      <c r="H142" s="2">
        <v>126</v>
      </c>
      <c r="I142" s="2">
        <v>614</v>
      </c>
      <c r="J142" s="2">
        <v>500</v>
      </c>
      <c r="K142" s="2">
        <v>122.8</v>
      </c>
      <c r="L142" s="8">
        <v>-114</v>
      </c>
      <c r="M142" s="4">
        <f t="shared" si="2"/>
        <v>0</v>
      </c>
    </row>
    <row r="143" spans="1:13">
      <c r="A143" s="2" t="s">
        <v>307</v>
      </c>
      <c r="B143" s="2" t="s">
        <v>308</v>
      </c>
      <c r="C143" s="2" t="s">
        <v>46</v>
      </c>
      <c r="D143" s="2">
        <v>77</v>
      </c>
      <c r="E143" s="2">
        <v>88</v>
      </c>
      <c r="F143" s="2">
        <v>102</v>
      </c>
      <c r="G143" s="2">
        <v>109</v>
      </c>
      <c r="H143" s="2">
        <v>68</v>
      </c>
      <c r="I143" s="2">
        <v>444</v>
      </c>
      <c r="J143" s="2">
        <v>500</v>
      </c>
      <c r="K143" s="2">
        <v>88.8</v>
      </c>
      <c r="L143" s="8">
        <v>56</v>
      </c>
      <c r="M143" s="4">
        <f t="shared" si="2"/>
        <v>0.112</v>
      </c>
    </row>
    <row r="144" spans="1:13">
      <c r="A144" s="2" t="s">
        <v>309</v>
      </c>
      <c r="B144" s="2" t="s">
        <v>310</v>
      </c>
      <c r="C144" s="2" t="s">
        <v>67</v>
      </c>
      <c r="D144" s="2">
        <v>96</v>
      </c>
      <c r="E144" s="2">
        <v>127</v>
      </c>
      <c r="F144" s="2">
        <v>108</v>
      </c>
      <c r="G144" s="2">
        <v>67</v>
      </c>
      <c r="H144" s="2">
        <v>126</v>
      </c>
      <c r="I144" s="2">
        <v>524</v>
      </c>
      <c r="J144" s="2">
        <v>500</v>
      </c>
      <c r="K144" s="2">
        <v>104.8</v>
      </c>
      <c r="L144" s="8">
        <v>-24</v>
      </c>
      <c r="M144" s="4">
        <f t="shared" si="2"/>
        <v>0</v>
      </c>
    </row>
    <row r="145" spans="1:13">
      <c r="A145" s="2" t="s">
        <v>311</v>
      </c>
      <c r="B145" s="2" t="s">
        <v>312</v>
      </c>
      <c r="C145" s="2" t="s">
        <v>46</v>
      </c>
      <c r="D145" s="2">
        <v>94</v>
      </c>
      <c r="E145" s="2">
        <v>42</v>
      </c>
      <c r="F145" s="2">
        <v>107</v>
      </c>
      <c r="G145" s="2">
        <v>105</v>
      </c>
      <c r="H145" s="2">
        <v>123</v>
      </c>
      <c r="I145" s="2">
        <v>471</v>
      </c>
      <c r="J145" s="2">
        <v>500</v>
      </c>
      <c r="K145" s="2">
        <v>94.2</v>
      </c>
      <c r="L145" s="8">
        <v>29</v>
      </c>
      <c r="M145" s="4">
        <f t="shared" si="2"/>
        <v>5.8000000000000003E-2</v>
      </c>
    </row>
    <row r="146" spans="1:13">
      <c r="A146" s="2" t="s">
        <v>313</v>
      </c>
      <c r="B146" s="2" t="s">
        <v>6</v>
      </c>
      <c r="C146" s="2" t="s">
        <v>67</v>
      </c>
      <c r="D146" s="2">
        <v>112</v>
      </c>
      <c r="E146" s="2">
        <v>82</v>
      </c>
      <c r="F146" s="2">
        <v>150</v>
      </c>
      <c r="G146" s="2">
        <v>145</v>
      </c>
      <c r="H146" s="2">
        <v>99</v>
      </c>
      <c r="I146" s="2">
        <v>588</v>
      </c>
      <c r="J146" s="2">
        <v>500</v>
      </c>
      <c r="K146" s="2">
        <v>117.6</v>
      </c>
      <c r="L146" s="8">
        <v>-88</v>
      </c>
      <c r="M146" s="4">
        <f t="shared" si="2"/>
        <v>0</v>
      </c>
    </row>
    <row r="147" spans="1:13">
      <c r="A147" s="2" t="s">
        <v>314</v>
      </c>
      <c r="B147" s="2" t="s">
        <v>315</v>
      </c>
      <c r="C147" s="2" t="s">
        <v>46</v>
      </c>
      <c r="D147" s="2">
        <v>119</v>
      </c>
      <c r="E147" s="2">
        <v>91</v>
      </c>
      <c r="F147" s="2">
        <v>106</v>
      </c>
      <c r="G147" s="2">
        <v>137</v>
      </c>
      <c r="H147" s="2">
        <v>43</v>
      </c>
      <c r="I147" s="2">
        <v>496</v>
      </c>
      <c r="J147" s="2">
        <v>500</v>
      </c>
      <c r="K147" s="2">
        <v>99.2</v>
      </c>
      <c r="L147" s="8">
        <v>4</v>
      </c>
      <c r="M147" s="4">
        <f t="shared" si="2"/>
        <v>8.0000000000000002E-3</v>
      </c>
    </row>
    <row r="148" spans="1:13">
      <c r="A148" s="2" t="s">
        <v>316</v>
      </c>
      <c r="B148" s="2" t="s">
        <v>317</v>
      </c>
      <c r="C148" s="2" t="s">
        <v>39</v>
      </c>
      <c r="D148" s="2">
        <v>120</v>
      </c>
      <c r="E148" s="2">
        <v>89</v>
      </c>
      <c r="F148" s="2">
        <v>114</v>
      </c>
      <c r="G148" s="2">
        <v>94</v>
      </c>
      <c r="H148" s="2">
        <v>118</v>
      </c>
      <c r="I148" s="2">
        <v>535</v>
      </c>
      <c r="J148" s="2">
        <v>500</v>
      </c>
      <c r="K148" s="2">
        <v>107</v>
      </c>
      <c r="L148" s="8">
        <v>-35</v>
      </c>
      <c r="M148" s="4">
        <f t="shared" si="2"/>
        <v>0</v>
      </c>
    </row>
    <row r="149" spans="1:13">
      <c r="A149" s="2" t="s">
        <v>318</v>
      </c>
      <c r="B149" s="2" t="s">
        <v>319</v>
      </c>
      <c r="C149" s="2" t="s">
        <v>46</v>
      </c>
      <c r="D149" s="2">
        <v>84</v>
      </c>
      <c r="E149" s="2">
        <v>134</v>
      </c>
      <c r="F149" s="2">
        <v>82</v>
      </c>
      <c r="G149" s="2">
        <v>109</v>
      </c>
      <c r="H149" s="2">
        <v>95</v>
      </c>
      <c r="I149" s="2">
        <v>504</v>
      </c>
      <c r="J149" s="2">
        <v>500</v>
      </c>
      <c r="K149" s="2">
        <v>100.8</v>
      </c>
      <c r="L149" s="8">
        <v>-4</v>
      </c>
      <c r="M149" s="4">
        <f t="shared" si="2"/>
        <v>0</v>
      </c>
    </row>
    <row r="150" spans="1:13">
      <c r="A150" s="2" t="s">
        <v>320</v>
      </c>
      <c r="B150" s="2" t="s">
        <v>321</v>
      </c>
      <c r="C150" s="2" t="s">
        <v>29</v>
      </c>
      <c r="D150" s="2">
        <v>149</v>
      </c>
      <c r="E150" s="2">
        <v>92</v>
      </c>
      <c r="F150" s="2">
        <v>102</v>
      </c>
      <c r="G150" s="2">
        <v>56</v>
      </c>
      <c r="H150" s="2">
        <v>97</v>
      </c>
      <c r="I150" s="2">
        <v>496</v>
      </c>
      <c r="J150" s="2">
        <v>500</v>
      </c>
      <c r="K150" s="2">
        <v>99.2</v>
      </c>
      <c r="L150" s="8">
        <v>4</v>
      </c>
      <c r="M150" s="4">
        <f t="shared" si="2"/>
        <v>8.0000000000000002E-3</v>
      </c>
    </row>
    <row r="151" spans="1:13">
      <c r="A151" s="2" t="s">
        <v>322</v>
      </c>
      <c r="B151" s="2" t="s">
        <v>323</v>
      </c>
      <c r="C151" s="2" t="s">
        <v>32</v>
      </c>
      <c r="D151" s="2">
        <v>40</v>
      </c>
      <c r="E151" s="2">
        <v>130</v>
      </c>
      <c r="F151" s="2">
        <v>72</v>
      </c>
      <c r="G151" s="2">
        <v>123</v>
      </c>
      <c r="H151" s="2">
        <v>124</v>
      </c>
      <c r="I151" s="2">
        <v>489</v>
      </c>
      <c r="J151" s="2">
        <v>500</v>
      </c>
      <c r="K151" s="2">
        <v>97.8</v>
      </c>
      <c r="L151" s="8">
        <v>11</v>
      </c>
      <c r="M151" s="4">
        <f t="shared" si="2"/>
        <v>2.1999999999999999E-2</v>
      </c>
    </row>
    <row r="152" spans="1:13">
      <c r="A152" s="2" t="s">
        <v>324</v>
      </c>
      <c r="B152" s="2" t="s">
        <v>325</v>
      </c>
      <c r="C152" s="2" t="s">
        <v>32</v>
      </c>
      <c r="D152" s="2">
        <v>50</v>
      </c>
      <c r="E152" s="2">
        <v>66</v>
      </c>
      <c r="F152" s="2">
        <v>107</v>
      </c>
      <c r="G152" s="2">
        <v>103</v>
      </c>
      <c r="H152" s="2">
        <v>91</v>
      </c>
      <c r="I152" s="2">
        <v>417</v>
      </c>
      <c r="J152" s="2">
        <v>500</v>
      </c>
      <c r="K152" s="2">
        <v>83.4</v>
      </c>
      <c r="L152" s="8">
        <v>83</v>
      </c>
      <c r="M152" s="4">
        <f t="shared" si="2"/>
        <v>0.16600000000000001</v>
      </c>
    </row>
    <row r="153" spans="1:13">
      <c r="A153" s="2" t="s">
        <v>326</v>
      </c>
      <c r="B153" s="2" t="s">
        <v>327</v>
      </c>
      <c r="C153" s="2" t="s">
        <v>46</v>
      </c>
      <c r="D153" s="2">
        <v>145</v>
      </c>
      <c r="E153" s="2">
        <v>117</v>
      </c>
      <c r="F153" s="2">
        <v>65</v>
      </c>
      <c r="G153" s="2">
        <v>111</v>
      </c>
      <c r="H153" s="2">
        <v>96</v>
      </c>
      <c r="I153" s="2">
        <v>534</v>
      </c>
      <c r="J153" s="2">
        <v>500</v>
      </c>
      <c r="K153" s="2">
        <v>106.8</v>
      </c>
      <c r="L153" s="8">
        <v>-34</v>
      </c>
      <c r="M153" s="4">
        <f t="shared" si="2"/>
        <v>0</v>
      </c>
    </row>
    <row r="154" spans="1:13">
      <c r="A154" s="2" t="s">
        <v>328</v>
      </c>
      <c r="B154" s="2" t="s">
        <v>329</v>
      </c>
      <c r="C154" s="2" t="s">
        <v>39</v>
      </c>
      <c r="D154" s="2">
        <v>121</v>
      </c>
      <c r="E154" s="2">
        <v>93</v>
      </c>
      <c r="F154" s="2">
        <v>73</v>
      </c>
      <c r="G154" s="2">
        <v>148</v>
      </c>
      <c r="H154" s="2">
        <v>107</v>
      </c>
      <c r="I154" s="2">
        <v>542</v>
      </c>
      <c r="J154" s="2">
        <v>500</v>
      </c>
      <c r="K154" s="2">
        <v>108.4</v>
      </c>
      <c r="L154" s="8">
        <v>-42</v>
      </c>
      <c r="M154" s="4">
        <f t="shared" si="2"/>
        <v>0</v>
      </c>
    </row>
    <row r="155" spans="1:13">
      <c r="A155" s="2" t="s">
        <v>330</v>
      </c>
      <c r="B155" s="2" t="s">
        <v>331</v>
      </c>
      <c r="C155" s="2" t="s">
        <v>46</v>
      </c>
      <c r="D155" s="2">
        <v>76</v>
      </c>
      <c r="E155" s="2">
        <v>105</v>
      </c>
      <c r="F155" s="2">
        <v>99</v>
      </c>
      <c r="G155" s="2">
        <v>97</v>
      </c>
      <c r="H155" s="2">
        <v>54</v>
      </c>
      <c r="I155" s="2">
        <v>431</v>
      </c>
      <c r="J155" s="2">
        <v>500</v>
      </c>
      <c r="K155" s="2">
        <v>86.2</v>
      </c>
      <c r="L155" s="8">
        <v>69</v>
      </c>
      <c r="M155" s="4">
        <f t="shared" si="2"/>
        <v>0.13800000000000001</v>
      </c>
    </row>
    <row r="156" spans="1:13">
      <c r="A156" s="2" t="s">
        <v>332</v>
      </c>
      <c r="B156" s="2" t="s">
        <v>333</v>
      </c>
      <c r="C156" s="2" t="s">
        <v>29</v>
      </c>
      <c r="D156" s="2">
        <v>127</v>
      </c>
      <c r="E156" s="2">
        <v>55</v>
      </c>
      <c r="F156" s="2">
        <v>115</v>
      </c>
      <c r="G156" s="2">
        <v>138</v>
      </c>
      <c r="H156" s="2">
        <v>120</v>
      </c>
      <c r="I156" s="2">
        <v>555</v>
      </c>
      <c r="J156" s="2">
        <v>500</v>
      </c>
      <c r="K156" s="2">
        <v>111</v>
      </c>
      <c r="L156" s="8">
        <v>-55</v>
      </c>
      <c r="M156" s="4">
        <f t="shared" si="2"/>
        <v>0</v>
      </c>
    </row>
    <row r="157" spans="1:13">
      <c r="A157" s="2" t="s">
        <v>334</v>
      </c>
      <c r="B157" s="2" t="s">
        <v>335</v>
      </c>
      <c r="C157" s="2" t="s">
        <v>46</v>
      </c>
      <c r="D157" s="2">
        <v>104</v>
      </c>
      <c r="E157" s="2">
        <v>120</v>
      </c>
      <c r="F157" s="2">
        <v>95</v>
      </c>
      <c r="G157" s="2">
        <v>106</v>
      </c>
      <c r="H157" s="2">
        <v>97</v>
      </c>
      <c r="I157" s="2">
        <v>522</v>
      </c>
      <c r="J157" s="2">
        <v>500</v>
      </c>
      <c r="K157" s="2">
        <v>104.4</v>
      </c>
      <c r="L157" s="8">
        <v>-22</v>
      </c>
      <c r="M157" s="4">
        <f t="shared" si="2"/>
        <v>0</v>
      </c>
    </row>
    <row r="158" spans="1:13">
      <c r="A158" s="2" t="s">
        <v>336</v>
      </c>
      <c r="B158" s="2" t="s">
        <v>337</v>
      </c>
      <c r="C158" s="2" t="s">
        <v>67</v>
      </c>
      <c r="D158" s="2">
        <v>131</v>
      </c>
      <c r="E158" s="2">
        <v>139</v>
      </c>
      <c r="F158" s="2">
        <v>76</v>
      </c>
      <c r="G158" s="2">
        <v>47</v>
      </c>
      <c r="H158" s="2">
        <v>90</v>
      </c>
      <c r="I158" s="2">
        <v>483</v>
      </c>
      <c r="J158" s="2">
        <v>500</v>
      </c>
      <c r="K158" s="2">
        <v>96.6</v>
      </c>
      <c r="L158" s="8">
        <v>17</v>
      </c>
      <c r="M158" s="4">
        <f t="shared" si="2"/>
        <v>3.4000000000000002E-2</v>
      </c>
    </row>
    <row r="159" spans="1:13">
      <c r="A159" s="2" t="s">
        <v>338</v>
      </c>
      <c r="B159" s="2" t="s">
        <v>339</v>
      </c>
      <c r="C159" s="2" t="s">
        <v>29</v>
      </c>
      <c r="D159" s="2">
        <v>105</v>
      </c>
      <c r="E159" s="2">
        <v>44</v>
      </c>
      <c r="F159" s="2">
        <v>140</v>
      </c>
      <c r="G159" s="2">
        <v>96</v>
      </c>
      <c r="H159" s="2">
        <v>49</v>
      </c>
      <c r="I159" s="2">
        <v>434</v>
      </c>
      <c r="J159" s="2">
        <v>500</v>
      </c>
      <c r="K159" s="2">
        <v>86.8</v>
      </c>
      <c r="L159" s="8">
        <v>66</v>
      </c>
      <c r="M159" s="4">
        <f t="shared" si="2"/>
        <v>0.13200000000000001</v>
      </c>
    </row>
    <row r="160" spans="1:13">
      <c r="A160" s="2" t="s">
        <v>340</v>
      </c>
      <c r="B160" s="2" t="s">
        <v>341</v>
      </c>
      <c r="C160" s="2" t="s">
        <v>29</v>
      </c>
      <c r="D160" s="2">
        <v>117</v>
      </c>
      <c r="E160" s="2">
        <v>66</v>
      </c>
      <c r="F160" s="2">
        <v>128</v>
      </c>
      <c r="G160" s="2">
        <v>79</v>
      </c>
      <c r="H160" s="2">
        <v>79</v>
      </c>
      <c r="I160" s="2">
        <v>469</v>
      </c>
      <c r="J160" s="2">
        <v>500</v>
      </c>
      <c r="K160" s="2">
        <v>93.8</v>
      </c>
      <c r="L160" s="8">
        <v>31</v>
      </c>
      <c r="M160" s="4">
        <f t="shared" si="2"/>
        <v>6.2E-2</v>
      </c>
    </row>
    <row r="161" spans="1:13">
      <c r="A161" s="2" t="s">
        <v>342</v>
      </c>
      <c r="B161" s="2" t="s">
        <v>343</v>
      </c>
      <c r="C161" s="2" t="s">
        <v>32</v>
      </c>
      <c r="D161" s="2">
        <v>60</v>
      </c>
      <c r="E161" s="2">
        <v>57</v>
      </c>
      <c r="F161" s="2">
        <v>98</v>
      </c>
      <c r="G161" s="2">
        <v>42</v>
      </c>
      <c r="H161" s="2">
        <v>145</v>
      </c>
      <c r="I161" s="2">
        <v>402</v>
      </c>
      <c r="J161" s="2">
        <v>500</v>
      </c>
      <c r="K161" s="2">
        <v>80.400000000000006</v>
      </c>
      <c r="L161" s="8">
        <v>98</v>
      </c>
      <c r="M161" s="4">
        <f t="shared" si="2"/>
        <v>0.19600000000000001</v>
      </c>
    </row>
    <row r="162" spans="1:13">
      <c r="A162" s="2" t="s">
        <v>344</v>
      </c>
      <c r="B162" s="2" t="s">
        <v>345</v>
      </c>
      <c r="C162" s="2" t="s">
        <v>32</v>
      </c>
      <c r="D162" s="2">
        <v>46</v>
      </c>
      <c r="E162" s="2">
        <v>142</v>
      </c>
      <c r="F162" s="2">
        <v>110</v>
      </c>
      <c r="G162" s="2">
        <v>47</v>
      </c>
      <c r="H162" s="2">
        <v>86</v>
      </c>
      <c r="I162" s="2">
        <v>431</v>
      </c>
      <c r="J162" s="2">
        <v>500</v>
      </c>
      <c r="K162" s="2">
        <v>86.2</v>
      </c>
      <c r="L162" s="8">
        <v>69</v>
      </c>
      <c r="M162" s="4">
        <f t="shared" si="2"/>
        <v>0.13800000000000001</v>
      </c>
    </row>
    <row r="163" spans="1:13">
      <c r="A163" s="2" t="s">
        <v>346</v>
      </c>
      <c r="B163" s="2" t="s">
        <v>347</v>
      </c>
      <c r="C163" s="2" t="s">
        <v>39</v>
      </c>
      <c r="D163" s="2">
        <v>88</v>
      </c>
      <c r="E163" s="2">
        <v>122</v>
      </c>
      <c r="F163" s="2">
        <v>146</v>
      </c>
      <c r="G163" s="2">
        <v>107</v>
      </c>
      <c r="H163" s="2">
        <v>64</v>
      </c>
      <c r="I163" s="2">
        <v>527</v>
      </c>
      <c r="J163" s="2">
        <v>500</v>
      </c>
      <c r="K163" s="2">
        <v>105.4</v>
      </c>
      <c r="L163" s="8">
        <v>-27</v>
      </c>
      <c r="M163" s="4">
        <f t="shared" si="2"/>
        <v>0</v>
      </c>
    </row>
    <row r="164" spans="1:13">
      <c r="A164" s="2" t="s">
        <v>348</v>
      </c>
      <c r="B164" s="2" t="s">
        <v>349</v>
      </c>
      <c r="C164" s="2" t="s">
        <v>67</v>
      </c>
      <c r="D164" s="2">
        <v>82</v>
      </c>
      <c r="E164" s="2">
        <v>86</v>
      </c>
      <c r="F164" s="2">
        <v>56</v>
      </c>
      <c r="G164" s="2">
        <v>60</v>
      </c>
      <c r="H164" s="2">
        <v>111</v>
      </c>
      <c r="I164" s="2">
        <v>395</v>
      </c>
      <c r="J164" s="2">
        <v>500</v>
      </c>
      <c r="K164" s="2">
        <v>79</v>
      </c>
      <c r="L164" s="8">
        <v>105</v>
      </c>
      <c r="M164" s="4">
        <f t="shared" si="2"/>
        <v>0.21</v>
      </c>
    </row>
    <row r="165" spans="1:13">
      <c r="A165" s="2" t="s">
        <v>350</v>
      </c>
      <c r="B165" s="2" t="s">
        <v>9</v>
      </c>
      <c r="C165" s="2" t="s">
        <v>67</v>
      </c>
      <c r="D165" s="2">
        <v>121</v>
      </c>
      <c r="E165" s="2">
        <v>130</v>
      </c>
      <c r="F165" s="2">
        <v>41</v>
      </c>
      <c r="G165" s="2">
        <v>49</v>
      </c>
      <c r="H165" s="2">
        <v>45</v>
      </c>
      <c r="I165" s="2">
        <v>386</v>
      </c>
      <c r="J165" s="2">
        <v>500</v>
      </c>
      <c r="K165" s="2">
        <v>77.2</v>
      </c>
      <c r="L165" s="8">
        <v>114</v>
      </c>
      <c r="M165" s="4">
        <f t="shared" si="2"/>
        <v>0.22800000000000001</v>
      </c>
    </row>
    <row r="166" spans="1:13">
      <c r="A166" s="2" t="s">
        <v>351</v>
      </c>
      <c r="B166" s="2" t="s">
        <v>352</v>
      </c>
      <c r="C166" s="2" t="s">
        <v>29</v>
      </c>
      <c r="D166" s="2">
        <v>135</v>
      </c>
      <c r="E166" s="2">
        <v>105</v>
      </c>
      <c r="F166" s="2">
        <v>134</v>
      </c>
      <c r="G166" s="2">
        <v>60</v>
      </c>
      <c r="H166" s="2">
        <v>57</v>
      </c>
      <c r="I166" s="2">
        <v>491</v>
      </c>
      <c r="J166" s="2">
        <v>500</v>
      </c>
      <c r="K166" s="2">
        <v>98.2</v>
      </c>
      <c r="L166" s="8">
        <v>9</v>
      </c>
      <c r="M166" s="4">
        <f t="shared" si="2"/>
        <v>1.7999999999999999E-2</v>
      </c>
    </row>
    <row r="167" spans="1:13">
      <c r="A167" s="2" t="s">
        <v>353</v>
      </c>
      <c r="B167" s="2" t="s">
        <v>354</v>
      </c>
      <c r="C167" s="2" t="s">
        <v>32</v>
      </c>
      <c r="D167" s="2">
        <v>121</v>
      </c>
      <c r="E167" s="2">
        <v>119</v>
      </c>
      <c r="F167" s="2">
        <v>138</v>
      </c>
      <c r="G167" s="2">
        <v>85</v>
      </c>
      <c r="H167" s="2">
        <v>95</v>
      </c>
      <c r="I167" s="2">
        <v>558</v>
      </c>
      <c r="J167" s="2">
        <v>500</v>
      </c>
      <c r="K167" s="2">
        <v>111.6</v>
      </c>
      <c r="L167" s="8">
        <v>-58</v>
      </c>
      <c r="M167" s="4">
        <f t="shared" si="2"/>
        <v>0</v>
      </c>
    </row>
    <row r="168" spans="1:13">
      <c r="A168" s="2" t="s">
        <v>355</v>
      </c>
      <c r="B168" s="2" t="s">
        <v>356</v>
      </c>
      <c r="C168" s="2" t="s">
        <v>32</v>
      </c>
      <c r="D168" s="2">
        <v>93</v>
      </c>
      <c r="E168" s="2">
        <v>77</v>
      </c>
      <c r="F168" s="2">
        <v>122</v>
      </c>
      <c r="G168" s="2">
        <v>40</v>
      </c>
      <c r="H168" s="2">
        <v>68</v>
      </c>
      <c r="I168" s="2">
        <v>400</v>
      </c>
      <c r="J168" s="2">
        <v>500</v>
      </c>
      <c r="K168" s="2">
        <v>80</v>
      </c>
      <c r="L168" s="8">
        <v>100</v>
      </c>
      <c r="M168" s="4">
        <f t="shared" si="2"/>
        <v>0.2</v>
      </c>
    </row>
    <row r="169" spans="1:13">
      <c r="A169" s="2" t="s">
        <v>357</v>
      </c>
      <c r="B169" s="2" t="s">
        <v>358</v>
      </c>
      <c r="C169" s="2" t="s">
        <v>29</v>
      </c>
      <c r="D169" s="2">
        <v>149</v>
      </c>
      <c r="E169" s="2">
        <v>57</v>
      </c>
      <c r="F169" s="2">
        <v>143</v>
      </c>
      <c r="G169" s="2">
        <v>80</v>
      </c>
      <c r="H169" s="2">
        <v>135</v>
      </c>
      <c r="I169" s="2">
        <v>564</v>
      </c>
      <c r="J169" s="2">
        <v>500</v>
      </c>
      <c r="K169" s="2">
        <v>112.8</v>
      </c>
      <c r="L169" s="8">
        <v>-64</v>
      </c>
      <c r="M169" s="4">
        <f t="shared" si="2"/>
        <v>0</v>
      </c>
    </row>
    <row r="170" spans="1:13">
      <c r="A170" s="2" t="s">
        <v>359</v>
      </c>
      <c r="B170" s="2" t="s">
        <v>10</v>
      </c>
      <c r="C170" s="2" t="s">
        <v>67</v>
      </c>
      <c r="D170" s="2">
        <v>145</v>
      </c>
      <c r="E170" s="2">
        <v>135</v>
      </c>
      <c r="F170" s="2">
        <v>142</v>
      </c>
      <c r="G170" s="2">
        <v>142</v>
      </c>
      <c r="H170" s="2">
        <v>54</v>
      </c>
      <c r="I170" s="2">
        <v>618</v>
      </c>
      <c r="J170" s="2">
        <v>500</v>
      </c>
      <c r="K170" s="2">
        <v>123.6</v>
      </c>
      <c r="L170" s="8">
        <v>-118</v>
      </c>
      <c r="M170" s="4">
        <f t="shared" si="2"/>
        <v>0</v>
      </c>
    </row>
    <row r="171" spans="1:13">
      <c r="A171" s="2" t="s">
        <v>360</v>
      </c>
      <c r="B171" s="2" t="s">
        <v>361</v>
      </c>
      <c r="C171" s="2" t="s">
        <v>29</v>
      </c>
      <c r="D171" s="2">
        <v>63</v>
      </c>
      <c r="E171" s="2">
        <v>112</v>
      </c>
      <c r="F171" s="2">
        <v>130</v>
      </c>
      <c r="G171" s="2">
        <v>115</v>
      </c>
      <c r="H171" s="2">
        <v>66</v>
      </c>
      <c r="I171" s="2">
        <v>486</v>
      </c>
      <c r="J171" s="2">
        <v>500</v>
      </c>
      <c r="K171" s="2">
        <v>97.2</v>
      </c>
      <c r="L171" s="8">
        <v>14</v>
      </c>
      <c r="M171" s="4">
        <f t="shared" si="2"/>
        <v>2.8000000000000001E-2</v>
      </c>
    </row>
    <row r="172" spans="1:13">
      <c r="A172" s="2" t="s">
        <v>362</v>
      </c>
      <c r="B172" s="2" t="s">
        <v>363</v>
      </c>
      <c r="C172" s="2" t="s">
        <v>39</v>
      </c>
      <c r="D172" s="2">
        <v>131</v>
      </c>
      <c r="E172" s="2">
        <v>143</v>
      </c>
      <c r="F172" s="2">
        <v>109</v>
      </c>
      <c r="G172" s="2">
        <v>51</v>
      </c>
      <c r="H172" s="2">
        <v>50</v>
      </c>
      <c r="I172" s="2">
        <v>484</v>
      </c>
      <c r="J172" s="2">
        <v>500</v>
      </c>
      <c r="K172" s="2">
        <v>96.8</v>
      </c>
      <c r="L172" s="8">
        <v>16</v>
      </c>
      <c r="M172" s="4">
        <f t="shared" si="2"/>
        <v>3.2000000000000001E-2</v>
      </c>
    </row>
    <row r="173" spans="1:13">
      <c r="A173" s="2" t="s">
        <v>364</v>
      </c>
      <c r="B173" s="2" t="s">
        <v>365</v>
      </c>
      <c r="C173" s="2" t="s">
        <v>46</v>
      </c>
      <c r="D173" s="2">
        <v>76</v>
      </c>
      <c r="E173" s="2">
        <v>118</v>
      </c>
      <c r="F173" s="2">
        <v>147</v>
      </c>
      <c r="G173" s="2">
        <v>103</v>
      </c>
      <c r="H173" s="2">
        <v>98</v>
      </c>
      <c r="I173" s="2">
        <v>542</v>
      </c>
      <c r="J173" s="2">
        <v>500</v>
      </c>
      <c r="K173" s="2">
        <v>108.4</v>
      </c>
      <c r="L173" s="8">
        <v>-42</v>
      </c>
      <c r="M173" s="4">
        <f t="shared" si="2"/>
        <v>0</v>
      </c>
    </row>
    <row r="174" spans="1:13">
      <c r="A174" s="2" t="s">
        <v>366</v>
      </c>
      <c r="B174" s="2" t="s">
        <v>367</v>
      </c>
      <c r="C174" s="2" t="s">
        <v>39</v>
      </c>
      <c r="D174" s="2">
        <v>125</v>
      </c>
      <c r="E174" s="2">
        <v>107</v>
      </c>
      <c r="F174" s="2">
        <v>102</v>
      </c>
      <c r="G174" s="2">
        <v>44</v>
      </c>
      <c r="H174" s="2">
        <v>47</v>
      </c>
      <c r="I174" s="2">
        <v>425</v>
      </c>
      <c r="J174" s="2">
        <v>500</v>
      </c>
      <c r="K174" s="2">
        <v>85</v>
      </c>
      <c r="L174" s="8">
        <v>75</v>
      </c>
      <c r="M174" s="4">
        <f t="shared" si="2"/>
        <v>0.15</v>
      </c>
    </row>
    <row r="175" spans="1:13">
      <c r="A175" s="2" t="s">
        <v>368</v>
      </c>
      <c r="B175" s="2" t="s">
        <v>369</v>
      </c>
      <c r="C175" s="2" t="s">
        <v>39</v>
      </c>
      <c r="D175" s="2">
        <v>46</v>
      </c>
      <c r="E175" s="2">
        <v>148</v>
      </c>
      <c r="F175" s="2">
        <v>48</v>
      </c>
      <c r="G175" s="2">
        <v>114</v>
      </c>
      <c r="H175" s="2">
        <v>110</v>
      </c>
      <c r="I175" s="2">
        <v>466</v>
      </c>
      <c r="J175" s="2">
        <v>500</v>
      </c>
      <c r="K175" s="2">
        <v>93.2</v>
      </c>
      <c r="L175" s="8">
        <v>34</v>
      </c>
      <c r="M175" s="4">
        <f t="shared" si="2"/>
        <v>6.8000000000000005E-2</v>
      </c>
    </row>
    <row r="176" spans="1:13">
      <c r="A176" s="2" t="s">
        <v>370</v>
      </c>
      <c r="B176" s="2" t="s">
        <v>371</v>
      </c>
      <c r="C176" s="2" t="s">
        <v>46</v>
      </c>
      <c r="D176" s="2">
        <v>72</v>
      </c>
      <c r="E176" s="2">
        <v>125</v>
      </c>
      <c r="F176" s="2">
        <v>75</v>
      </c>
      <c r="G176" s="2">
        <v>66</v>
      </c>
      <c r="H176" s="2">
        <v>93</v>
      </c>
      <c r="I176" s="2">
        <v>431</v>
      </c>
      <c r="J176" s="2">
        <v>500</v>
      </c>
      <c r="K176" s="2">
        <v>86.2</v>
      </c>
      <c r="L176" s="8">
        <v>69</v>
      </c>
      <c r="M176" s="4">
        <f t="shared" si="2"/>
        <v>0.13800000000000001</v>
      </c>
    </row>
    <row r="177" spans="1:13">
      <c r="A177" s="2" t="s">
        <v>372</v>
      </c>
      <c r="B177" s="2" t="s">
        <v>373</v>
      </c>
      <c r="C177" s="2" t="s">
        <v>29</v>
      </c>
      <c r="D177" s="2">
        <v>146</v>
      </c>
      <c r="E177" s="2">
        <v>85</v>
      </c>
      <c r="F177" s="2">
        <v>116</v>
      </c>
      <c r="G177" s="2">
        <v>45</v>
      </c>
      <c r="H177" s="2">
        <v>141</v>
      </c>
      <c r="I177" s="2">
        <v>533</v>
      </c>
      <c r="J177" s="2">
        <v>500</v>
      </c>
      <c r="K177" s="2">
        <v>106.6</v>
      </c>
      <c r="L177" s="8">
        <v>-33</v>
      </c>
      <c r="M177" s="4">
        <f t="shared" si="2"/>
        <v>0</v>
      </c>
    </row>
    <row r="178" spans="1:13">
      <c r="A178" s="2" t="s">
        <v>374</v>
      </c>
      <c r="B178" s="2" t="s">
        <v>375</v>
      </c>
      <c r="C178" s="2" t="s">
        <v>67</v>
      </c>
      <c r="D178" s="2">
        <v>139</v>
      </c>
      <c r="E178" s="2">
        <v>125</v>
      </c>
      <c r="F178" s="2">
        <v>110</v>
      </c>
      <c r="G178" s="2">
        <v>42</v>
      </c>
      <c r="H178" s="2">
        <v>94</v>
      </c>
      <c r="I178" s="2">
        <v>510</v>
      </c>
      <c r="J178" s="2">
        <v>500</v>
      </c>
      <c r="K178" s="2">
        <v>102</v>
      </c>
      <c r="L178" s="8">
        <v>-10</v>
      </c>
      <c r="M178" s="4">
        <f t="shared" si="2"/>
        <v>0</v>
      </c>
    </row>
    <row r="179" spans="1:13">
      <c r="A179" s="2" t="s">
        <v>376</v>
      </c>
      <c r="B179" s="2" t="s">
        <v>377</v>
      </c>
      <c r="C179" s="2" t="s">
        <v>46</v>
      </c>
      <c r="D179" s="2">
        <v>51</v>
      </c>
      <c r="E179" s="2">
        <v>97</v>
      </c>
      <c r="F179" s="2">
        <v>85</v>
      </c>
      <c r="G179" s="2">
        <v>117</v>
      </c>
      <c r="H179" s="2">
        <v>87</v>
      </c>
      <c r="I179" s="2">
        <v>437</v>
      </c>
      <c r="J179" s="2">
        <v>500</v>
      </c>
      <c r="K179" s="2">
        <v>87.4</v>
      </c>
      <c r="L179" s="8">
        <v>63</v>
      </c>
      <c r="M179" s="4">
        <f t="shared" si="2"/>
        <v>0.126</v>
      </c>
    </row>
    <row r="180" spans="1:13">
      <c r="A180" s="2" t="s">
        <v>378</v>
      </c>
      <c r="B180" s="2" t="s">
        <v>379</v>
      </c>
      <c r="C180" s="2" t="s">
        <v>67</v>
      </c>
      <c r="D180" s="2">
        <v>73</v>
      </c>
      <c r="E180" s="2">
        <v>139</v>
      </c>
      <c r="F180" s="2">
        <v>103</v>
      </c>
      <c r="G180" s="2">
        <v>41</v>
      </c>
      <c r="H180" s="2">
        <v>92</v>
      </c>
      <c r="I180" s="2">
        <v>448</v>
      </c>
      <c r="J180" s="2">
        <v>500</v>
      </c>
      <c r="K180" s="2">
        <v>89.6</v>
      </c>
      <c r="L180" s="8">
        <v>52</v>
      </c>
      <c r="M180" s="4">
        <f t="shared" si="2"/>
        <v>0.104</v>
      </c>
    </row>
    <row r="181" spans="1:13">
      <c r="A181" s="2" t="s">
        <v>380</v>
      </c>
      <c r="B181" s="2" t="s">
        <v>381</v>
      </c>
      <c r="C181" s="2" t="s">
        <v>46</v>
      </c>
      <c r="D181" s="2">
        <v>46</v>
      </c>
      <c r="E181" s="2">
        <v>70</v>
      </c>
      <c r="F181" s="2">
        <v>45</v>
      </c>
      <c r="G181" s="2">
        <v>112</v>
      </c>
      <c r="H181" s="2">
        <v>125</v>
      </c>
      <c r="I181" s="2">
        <v>398</v>
      </c>
      <c r="J181" s="2">
        <v>500</v>
      </c>
      <c r="K181" s="2">
        <v>79.599999999999994</v>
      </c>
      <c r="L181" s="8">
        <v>102</v>
      </c>
      <c r="M181" s="4">
        <f t="shared" si="2"/>
        <v>0.20399999999999999</v>
      </c>
    </row>
    <row r="182" spans="1:13">
      <c r="A182" s="2" t="s">
        <v>382</v>
      </c>
      <c r="B182" s="2" t="s">
        <v>383</v>
      </c>
      <c r="C182" s="2" t="s">
        <v>32</v>
      </c>
      <c r="D182" s="2">
        <v>125</v>
      </c>
      <c r="E182" s="2">
        <v>118</v>
      </c>
      <c r="F182" s="2">
        <v>83</v>
      </c>
      <c r="G182" s="2">
        <v>88</v>
      </c>
      <c r="H182" s="2">
        <v>59</v>
      </c>
      <c r="I182" s="2">
        <v>473</v>
      </c>
      <c r="J182" s="2">
        <v>500</v>
      </c>
      <c r="K182" s="2">
        <v>94.6</v>
      </c>
      <c r="L182" s="8">
        <v>27</v>
      </c>
      <c r="M182" s="4">
        <f t="shared" si="2"/>
        <v>5.3999999999999999E-2</v>
      </c>
    </row>
    <row r="183" spans="1:13">
      <c r="A183" s="2" t="s">
        <v>384</v>
      </c>
      <c r="B183" s="2" t="s">
        <v>385</v>
      </c>
      <c r="C183" s="2" t="s">
        <v>32</v>
      </c>
      <c r="D183" s="2">
        <v>136</v>
      </c>
      <c r="E183" s="2">
        <v>82</v>
      </c>
      <c r="F183" s="2">
        <v>80</v>
      </c>
      <c r="G183" s="2">
        <v>52</v>
      </c>
      <c r="H183" s="2">
        <v>99</v>
      </c>
      <c r="I183" s="2">
        <v>449</v>
      </c>
      <c r="J183" s="2">
        <v>500</v>
      </c>
      <c r="K183" s="2">
        <v>89.8</v>
      </c>
      <c r="L183" s="8">
        <v>51</v>
      </c>
      <c r="M183" s="4">
        <f t="shared" si="2"/>
        <v>0.10199999999999999</v>
      </c>
    </row>
    <row r="184" spans="1:13">
      <c r="A184" s="2" t="s">
        <v>386</v>
      </c>
      <c r="B184" s="2" t="s">
        <v>387</v>
      </c>
      <c r="C184" s="2" t="s">
        <v>29</v>
      </c>
      <c r="D184" s="2">
        <v>102</v>
      </c>
      <c r="E184" s="2">
        <v>63</v>
      </c>
      <c r="F184" s="2">
        <v>104</v>
      </c>
      <c r="G184" s="2">
        <v>60</v>
      </c>
      <c r="H184" s="2">
        <v>83</v>
      </c>
      <c r="I184" s="2">
        <v>412</v>
      </c>
      <c r="J184" s="2">
        <v>500</v>
      </c>
      <c r="K184" s="2">
        <v>82.4</v>
      </c>
      <c r="L184" s="8">
        <v>88</v>
      </c>
      <c r="M184" s="4">
        <f t="shared" si="2"/>
        <v>0.17599999999999999</v>
      </c>
    </row>
    <row r="185" spans="1:13">
      <c r="A185" s="2" t="s">
        <v>388</v>
      </c>
      <c r="B185" s="2" t="s">
        <v>389</v>
      </c>
      <c r="C185" s="2" t="s">
        <v>46</v>
      </c>
      <c r="D185" s="2">
        <v>138</v>
      </c>
      <c r="E185" s="2">
        <v>111</v>
      </c>
      <c r="F185" s="2">
        <v>145</v>
      </c>
      <c r="G185" s="2">
        <v>126</v>
      </c>
      <c r="H185" s="2">
        <v>133</v>
      </c>
      <c r="I185" s="2">
        <v>653</v>
      </c>
      <c r="J185" s="2">
        <v>500</v>
      </c>
      <c r="K185" s="2">
        <v>130.6</v>
      </c>
      <c r="L185" s="8">
        <v>-153</v>
      </c>
      <c r="M185" s="4">
        <f t="shared" si="2"/>
        <v>0</v>
      </c>
    </row>
    <row r="186" spans="1:13">
      <c r="A186" s="2" t="s">
        <v>390</v>
      </c>
      <c r="B186" s="2" t="s">
        <v>391</v>
      </c>
      <c r="C186" s="2" t="s">
        <v>32</v>
      </c>
      <c r="D186" s="2">
        <v>123</v>
      </c>
      <c r="E186" s="2">
        <v>127</v>
      </c>
      <c r="F186" s="2">
        <v>81</v>
      </c>
      <c r="G186" s="2">
        <v>123</v>
      </c>
      <c r="H186" s="2">
        <v>115</v>
      </c>
      <c r="I186" s="2">
        <v>569</v>
      </c>
      <c r="J186" s="2">
        <v>500</v>
      </c>
      <c r="K186" s="2">
        <v>113.8</v>
      </c>
      <c r="L186" s="8">
        <v>-69</v>
      </c>
      <c r="M186" s="4">
        <f t="shared" si="2"/>
        <v>0</v>
      </c>
    </row>
    <row r="187" spans="1:13">
      <c r="A187" s="2" t="s">
        <v>392</v>
      </c>
      <c r="B187" s="2" t="s">
        <v>393</v>
      </c>
      <c r="C187" s="2" t="s">
        <v>46</v>
      </c>
      <c r="D187" s="2">
        <v>149</v>
      </c>
      <c r="E187" s="2">
        <v>80</v>
      </c>
      <c r="F187" s="2">
        <v>78</v>
      </c>
      <c r="G187" s="2">
        <v>115</v>
      </c>
      <c r="H187" s="2">
        <v>133</v>
      </c>
      <c r="I187" s="2">
        <v>555</v>
      </c>
      <c r="J187" s="2">
        <v>500</v>
      </c>
      <c r="K187" s="2">
        <v>111</v>
      </c>
      <c r="L187" s="8">
        <v>-55</v>
      </c>
      <c r="M187" s="4">
        <f t="shared" si="2"/>
        <v>0</v>
      </c>
    </row>
    <row r="188" spans="1:13">
      <c r="A188" s="2" t="s">
        <v>394</v>
      </c>
      <c r="B188" s="2" t="s">
        <v>395</v>
      </c>
      <c r="C188" s="2" t="s">
        <v>32</v>
      </c>
      <c r="D188" s="2">
        <v>121</v>
      </c>
      <c r="E188" s="2">
        <v>60</v>
      </c>
      <c r="F188" s="2">
        <v>80</v>
      </c>
      <c r="G188" s="2">
        <v>133</v>
      </c>
      <c r="H188" s="2">
        <v>132</v>
      </c>
      <c r="I188" s="2">
        <v>526</v>
      </c>
      <c r="J188" s="2">
        <v>500</v>
      </c>
      <c r="K188" s="2">
        <v>105.2</v>
      </c>
      <c r="L188" s="8">
        <v>-26</v>
      </c>
      <c r="M188" s="4">
        <f t="shared" si="2"/>
        <v>0</v>
      </c>
    </row>
    <row r="189" spans="1:13">
      <c r="A189" s="2" t="s">
        <v>396</v>
      </c>
      <c r="B189" s="2" t="s">
        <v>397</v>
      </c>
      <c r="C189" s="2" t="s">
        <v>39</v>
      </c>
      <c r="D189" s="2">
        <v>112</v>
      </c>
      <c r="E189" s="2">
        <v>150</v>
      </c>
      <c r="F189" s="2">
        <v>79</v>
      </c>
      <c r="G189" s="2">
        <v>101</v>
      </c>
      <c r="H189" s="2">
        <v>74</v>
      </c>
      <c r="I189" s="2">
        <v>516</v>
      </c>
      <c r="J189" s="2">
        <v>500</v>
      </c>
      <c r="K189" s="2">
        <v>103.2</v>
      </c>
      <c r="L189" s="8">
        <v>-16</v>
      </c>
      <c r="M189" s="4">
        <f t="shared" si="2"/>
        <v>0</v>
      </c>
    </row>
    <row r="190" spans="1:13">
      <c r="A190" s="2" t="s">
        <v>398</v>
      </c>
      <c r="B190" s="2" t="s">
        <v>399</v>
      </c>
      <c r="C190" s="2" t="s">
        <v>46</v>
      </c>
      <c r="D190" s="2">
        <v>77</v>
      </c>
      <c r="E190" s="2">
        <v>57</v>
      </c>
      <c r="F190" s="2">
        <v>44</v>
      </c>
      <c r="G190" s="2">
        <v>86</v>
      </c>
      <c r="H190" s="2">
        <v>97</v>
      </c>
      <c r="I190" s="2">
        <v>361</v>
      </c>
      <c r="J190" s="2">
        <v>500</v>
      </c>
      <c r="K190" s="2">
        <v>72.2</v>
      </c>
      <c r="L190" s="8">
        <v>139</v>
      </c>
      <c r="M190" s="4">
        <f t="shared" si="2"/>
        <v>0.27800000000000002</v>
      </c>
    </row>
    <row r="191" spans="1:13">
      <c r="A191" s="2" t="s">
        <v>400</v>
      </c>
      <c r="B191" s="2" t="s">
        <v>401</v>
      </c>
      <c r="C191" s="2" t="s">
        <v>39</v>
      </c>
      <c r="D191" s="2">
        <v>78</v>
      </c>
      <c r="E191" s="2">
        <v>49</v>
      </c>
      <c r="F191" s="2">
        <v>61</v>
      </c>
      <c r="G191" s="2">
        <v>54</v>
      </c>
      <c r="H191" s="2">
        <v>77</v>
      </c>
      <c r="I191" s="2">
        <v>319</v>
      </c>
      <c r="J191" s="2">
        <v>500</v>
      </c>
      <c r="K191" s="2">
        <v>63.8</v>
      </c>
      <c r="L191" s="8">
        <v>181</v>
      </c>
      <c r="M191" s="4">
        <f t="shared" si="2"/>
        <v>0.36199999999999999</v>
      </c>
    </row>
    <row r="192" spans="1:13">
      <c r="A192" s="2" t="s">
        <v>402</v>
      </c>
      <c r="B192" s="2" t="s">
        <v>403</v>
      </c>
      <c r="C192" s="2" t="s">
        <v>39</v>
      </c>
      <c r="D192" s="2">
        <v>69</v>
      </c>
      <c r="E192" s="2">
        <v>53</v>
      </c>
      <c r="F192" s="2">
        <v>44</v>
      </c>
      <c r="G192" s="2">
        <v>144</v>
      </c>
      <c r="H192" s="2">
        <v>95</v>
      </c>
      <c r="I192" s="2">
        <v>405</v>
      </c>
      <c r="J192" s="2">
        <v>500</v>
      </c>
      <c r="K192" s="2">
        <v>81</v>
      </c>
      <c r="L192" s="8">
        <v>95</v>
      </c>
      <c r="M192" s="4">
        <f t="shared" si="2"/>
        <v>0.19</v>
      </c>
    </row>
    <row r="193" spans="1:13">
      <c r="A193" s="2" t="s">
        <v>404</v>
      </c>
      <c r="B193" s="2" t="s">
        <v>405</v>
      </c>
      <c r="C193" s="2" t="s">
        <v>46</v>
      </c>
      <c r="D193" s="2">
        <v>81</v>
      </c>
      <c r="E193" s="2">
        <v>79</v>
      </c>
      <c r="F193" s="2">
        <v>47</v>
      </c>
      <c r="G193" s="2">
        <v>63</v>
      </c>
      <c r="H193" s="2">
        <v>138</v>
      </c>
      <c r="I193" s="2">
        <v>408</v>
      </c>
      <c r="J193" s="2">
        <v>500</v>
      </c>
      <c r="K193" s="2">
        <v>81.599999999999994</v>
      </c>
      <c r="L193" s="8">
        <v>92</v>
      </c>
      <c r="M193" s="4">
        <f t="shared" si="2"/>
        <v>0.184</v>
      </c>
    </row>
    <row r="194" spans="1:13">
      <c r="A194" s="2" t="s">
        <v>406</v>
      </c>
      <c r="B194" s="2" t="s">
        <v>407</v>
      </c>
      <c r="C194" s="2" t="s">
        <v>39</v>
      </c>
      <c r="D194" s="2">
        <v>91</v>
      </c>
      <c r="E194" s="2">
        <v>107</v>
      </c>
      <c r="F194" s="2">
        <v>134</v>
      </c>
      <c r="G194" s="2">
        <v>79</v>
      </c>
      <c r="H194" s="2">
        <v>98</v>
      </c>
      <c r="I194" s="2">
        <v>509</v>
      </c>
      <c r="J194" s="2">
        <v>500</v>
      </c>
      <c r="K194" s="2">
        <v>101.8</v>
      </c>
      <c r="L194" s="8">
        <v>-9</v>
      </c>
      <c r="M194" s="4">
        <f t="shared" si="2"/>
        <v>0</v>
      </c>
    </row>
    <row r="195" spans="1:13">
      <c r="A195" s="2" t="s">
        <v>408</v>
      </c>
      <c r="B195" s="2" t="s">
        <v>409</v>
      </c>
      <c r="C195" s="2" t="s">
        <v>46</v>
      </c>
      <c r="D195" s="2">
        <v>76</v>
      </c>
      <c r="E195" s="2">
        <v>50</v>
      </c>
      <c r="F195" s="2">
        <v>142</v>
      </c>
      <c r="G195" s="2">
        <v>136</v>
      </c>
      <c r="H195" s="2">
        <v>56</v>
      </c>
      <c r="I195" s="2">
        <v>460</v>
      </c>
      <c r="J195" s="2">
        <v>500</v>
      </c>
      <c r="K195" s="2">
        <v>92</v>
      </c>
      <c r="L195" s="8">
        <v>40</v>
      </c>
      <c r="M195" s="4">
        <f t="shared" ref="M195:M201" si="3">MAX(0,L195/J195)</f>
        <v>0.08</v>
      </c>
    </row>
    <row r="196" spans="1:13">
      <c r="A196" s="2" t="s">
        <v>410</v>
      </c>
      <c r="B196" s="2" t="s">
        <v>411</v>
      </c>
      <c r="C196" s="2" t="s">
        <v>32</v>
      </c>
      <c r="D196" s="2">
        <v>82</v>
      </c>
      <c r="E196" s="2">
        <v>63</v>
      </c>
      <c r="F196" s="2">
        <v>129</v>
      </c>
      <c r="G196" s="2">
        <v>106</v>
      </c>
      <c r="H196" s="2">
        <v>44</v>
      </c>
      <c r="I196" s="2">
        <v>424</v>
      </c>
      <c r="J196" s="2">
        <v>500</v>
      </c>
      <c r="K196" s="2">
        <v>84.8</v>
      </c>
      <c r="L196" s="8">
        <v>76</v>
      </c>
      <c r="M196" s="4">
        <f t="shared" si="3"/>
        <v>0.152</v>
      </c>
    </row>
    <row r="197" spans="1:13">
      <c r="A197" s="2" t="s">
        <v>412</v>
      </c>
      <c r="B197" s="2" t="s">
        <v>413</v>
      </c>
      <c r="C197" s="2" t="s">
        <v>29</v>
      </c>
      <c r="D197" s="2">
        <v>85</v>
      </c>
      <c r="E197" s="2">
        <v>103</v>
      </c>
      <c r="F197" s="2">
        <v>82</v>
      </c>
      <c r="G197" s="2">
        <v>71</v>
      </c>
      <c r="H197" s="2">
        <v>129</v>
      </c>
      <c r="I197" s="2">
        <v>470</v>
      </c>
      <c r="J197" s="2">
        <v>500</v>
      </c>
      <c r="K197" s="2">
        <v>94</v>
      </c>
      <c r="L197" s="8">
        <v>30</v>
      </c>
      <c r="M197" s="4">
        <f t="shared" si="3"/>
        <v>0.06</v>
      </c>
    </row>
    <row r="198" spans="1:13">
      <c r="A198" s="2" t="s">
        <v>414</v>
      </c>
      <c r="B198" s="2" t="s">
        <v>415</v>
      </c>
      <c r="C198" s="2" t="s">
        <v>32</v>
      </c>
      <c r="D198" s="2">
        <v>150</v>
      </c>
      <c r="E198" s="2">
        <v>108</v>
      </c>
      <c r="F198" s="2">
        <v>90</v>
      </c>
      <c r="G198" s="2">
        <v>91</v>
      </c>
      <c r="H198" s="2">
        <v>144</v>
      </c>
      <c r="I198" s="2">
        <v>583</v>
      </c>
      <c r="J198" s="2">
        <v>500</v>
      </c>
      <c r="K198" s="2">
        <v>116.6</v>
      </c>
      <c r="L198" s="8">
        <v>-83</v>
      </c>
      <c r="M198" s="4">
        <f t="shared" si="3"/>
        <v>0</v>
      </c>
    </row>
    <row r="199" spans="1:13">
      <c r="A199" s="2" t="s">
        <v>416</v>
      </c>
      <c r="B199" s="2" t="s">
        <v>417</v>
      </c>
      <c r="C199" s="2" t="s">
        <v>39</v>
      </c>
      <c r="D199" s="2">
        <v>44</v>
      </c>
      <c r="E199" s="2">
        <v>91</v>
      </c>
      <c r="F199" s="2">
        <v>85</v>
      </c>
      <c r="G199" s="2">
        <v>96</v>
      </c>
      <c r="H199" s="2">
        <v>105</v>
      </c>
      <c r="I199" s="2">
        <v>421</v>
      </c>
      <c r="J199" s="2">
        <v>500</v>
      </c>
      <c r="K199" s="2">
        <v>84.2</v>
      </c>
      <c r="L199" s="8">
        <v>79</v>
      </c>
      <c r="M199" s="4">
        <f t="shared" si="3"/>
        <v>0.158</v>
      </c>
    </row>
    <row r="200" spans="1:13">
      <c r="A200" s="2" t="s">
        <v>418</v>
      </c>
      <c r="B200" s="2" t="s">
        <v>419</v>
      </c>
      <c r="C200" s="2" t="s">
        <v>39</v>
      </c>
      <c r="D200" s="2">
        <v>97</v>
      </c>
      <c r="E200" s="2">
        <v>59</v>
      </c>
      <c r="F200" s="2">
        <v>50</v>
      </c>
      <c r="G200" s="2">
        <v>138</v>
      </c>
      <c r="H200" s="2">
        <v>129</v>
      </c>
      <c r="I200" s="2">
        <v>473</v>
      </c>
      <c r="J200" s="2">
        <v>500</v>
      </c>
      <c r="K200" s="2">
        <v>94.6</v>
      </c>
      <c r="L200" s="8">
        <v>27</v>
      </c>
      <c r="M200" s="4">
        <f t="shared" si="3"/>
        <v>5.3999999999999999E-2</v>
      </c>
    </row>
    <row r="201" spans="1:13">
      <c r="A201" s="2" t="s">
        <v>420</v>
      </c>
      <c r="B201" s="2" t="s">
        <v>421</v>
      </c>
      <c r="C201" s="2" t="s">
        <v>67</v>
      </c>
      <c r="D201" s="2">
        <v>147</v>
      </c>
      <c r="E201" s="2">
        <v>117</v>
      </c>
      <c r="F201" s="2">
        <v>72</v>
      </c>
      <c r="G201" s="2">
        <v>63</v>
      </c>
      <c r="H201" s="2">
        <v>103</v>
      </c>
      <c r="I201" s="2">
        <v>502</v>
      </c>
      <c r="J201" s="2">
        <v>500</v>
      </c>
      <c r="K201" s="2">
        <v>100.4</v>
      </c>
      <c r="L201" s="8">
        <v>-2</v>
      </c>
      <c r="M201" s="4">
        <f t="shared" si="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2026-01-11T10:16:51Z</dcterms:created>
  <dcterms:modified xsi:type="dcterms:W3CDTF">2026-01-12T11:20:07Z</dcterms:modified>
  <cp:category/>
  <cp:contentStatus/>
</cp:coreProperties>
</file>